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rishan\Downloads\"/>
    </mc:Choice>
  </mc:AlternateContent>
  <xr:revisionPtr revIDLastSave="0" documentId="13_ncr:1_{14DC640E-6861-448C-BA5E-D1E6B786C687}" xr6:coauthVersionLast="47" xr6:coauthVersionMax="47" xr10:uidLastSave="{00000000-0000-0000-0000-000000000000}"/>
  <bookViews>
    <workbookView xWindow="-110" yWindow="-110" windowWidth="19420" windowHeight="10300" firstSheet="7" activeTab="9" xr2:uid="{00000000-000D-0000-FFFF-FFFF00000000}"/>
  </bookViews>
  <sheets>
    <sheet name="Sales_Data" sheetId="1" r:id="rId1"/>
    <sheet name="Task 1" sheetId="2" r:id="rId2"/>
    <sheet name="Task 2" sheetId="4" r:id="rId3"/>
    <sheet name="Task 3" sheetId="5" r:id="rId4"/>
    <sheet name="Task 4 " sheetId="7" r:id="rId5"/>
    <sheet name="Task 5- Region wise sales" sheetId="8" r:id="rId6"/>
    <sheet name="Task 5- Profit by category" sheetId="9" r:id="rId7"/>
    <sheet name="Task 5- Monthly sales" sheetId="10" r:id="rId8"/>
    <sheet name="Task 6- Dashboard" sheetId="11" r:id="rId9"/>
    <sheet name="Task 6- KPI" sheetId="12" r:id="rId10"/>
  </sheets>
  <definedNames>
    <definedName name="Slicer_Category">#N/A</definedName>
    <definedName name="Slicer_Region">#N/A</definedName>
  </definedNames>
  <calcPr calcId="191029"/>
  <pivotCaches>
    <pivotCache cacheId="1" r:id="rId11"/>
  </pivotCaches>
  <fileRecoveryPr repairLoad="1"/>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 i="11" l="1"/>
  <c r="P4" i="11"/>
  <c r="P3" i="1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2" i="1"/>
  <c r="B3" i="7"/>
  <c r="B4" i="7"/>
  <c r="B5" i="7"/>
  <c r="B6" i="7"/>
  <c r="B7" i="7"/>
  <c r="B8" i="7"/>
  <c r="B2" i="7"/>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K81" i="5"/>
  <c r="J81" i="5"/>
  <c r="K80" i="5"/>
  <c r="J80" i="5"/>
  <c r="K79" i="5"/>
  <c r="J79" i="5"/>
  <c r="K78" i="5"/>
  <c r="J78" i="5"/>
  <c r="K77" i="5"/>
  <c r="J77" i="5"/>
  <c r="K76" i="5"/>
  <c r="J76" i="5"/>
  <c r="K75" i="5"/>
  <c r="J75" i="5"/>
  <c r="K74" i="5"/>
  <c r="J74" i="5"/>
  <c r="K73" i="5"/>
  <c r="J73" i="5"/>
  <c r="K72" i="5"/>
  <c r="J72" i="5"/>
  <c r="K71" i="5"/>
  <c r="J71" i="5"/>
  <c r="K70" i="5"/>
  <c r="J70" i="5"/>
  <c r="K69" i="5"/>
  <c r="J69" i="5"/>
  <c r="K68" i="5"/>
  <c r="J68" i="5"/>
  <c r="K67" i="5"/>
  <c r="J67" i="5"/>
  <c r="K66" i="5"/>
  <c r="J66" i="5"/>
  <c r="K65" i="5"/>
  <c r="J65" i="5"/>
  <c r="K64" i="5"/>
  <c r="J64" i="5"/>
  <c r="K63" i="5"/>
  <c r="J63" i="5"/>
  <c r="K62" i="5"/>
  <c r="J62" i="5"/>
  <c r="K61" i="5"/>
  <c r="J61" i="5"/>
  <c r="K60" i="5"/>
  <c r="J60" i="5"/>
  <c r="K59" i="5"/>
  <c r="J59" i="5"/>
  <c r="K58" i="5"/>
  <c r="J58" i="5"/>
  <c r="K57" i="5"/>
  <c r="J57" i="5"/>
  <c r="K56" i="5"/>
  <c r="J56" i="5"/>
  <c r="K55" i="5"/>
  <c r="J55" i="5"/>
  <c r="K54" i="5"/>
  <c r="J54" i="5"/>
  <c r="K53" i="5"/>
  <c r="J53" i="5"/>
  <c r="K52" i="5"/>
  <c r="J52" i="5"/>
  <c r="K51" i="5"/>
  <c r="J51" i="5"/>
  <c r="K50" i="5"/>
  <c r="J50" i="5"/>
  <c r="K49" i="5"/>
  <c r="J49" i="5"/>
  <c r="K48" i="5"/>
  <c r="J48" i="5"/>
  <c r="K47" i="5"/>
  <c r="J47" i="5"/>
  <c r="K46" i="5"/>
  <c r="J46" i="5"/>
  <c r="K45" i="5"/>
  <c r="J45" i="5"/>
  <c r="K44" i="5"/>
  <c r="J44" i="5"/>
  <c r="K43" i="5"/>
  <c r="J43" i="5"/>
  <c r="K42" i="5"/>
  <c r="J42" i="5"/>
  <c r="K41" i="5"/>
  <c r="J41" i="5"/>
  <c r="K40" i="5"/>
  <c r="J40" i="5"/>
  <c r="K39" i="5"/>
  <c r="J39" i="5"/>
  <c r="K38" i="5"/>
  <c r="J38" i="5"/>
  <c r="K37" i="5"/>
  <c r="J37" i="5"/>
  <c r="K36" i="5"/>
  <c r="J36" i="5"/>
  <c r="K35" i="5"/>
  <c r="J35" i="5"/>
  <c r="K34" i="5"/>
  <c r="J34" i="5"/>
  <c r="K33" i="5"/>
  <c r="J33" i="5"/>
  <c r="K32" i="5"/>
  <c r="J32" i="5"/>
  <c r="K31" i="5"/>
  <c r="J31" i="5"/>
  <c r="K30" i="5"/>
  <c r="J30" i="5"/>
  <c r="K29" i="5"/>
  <c r="J29" i="5"/>
  <c r="K28" i="5"/>
  <c r="J28" i="5"/>
  <c r="K27" i="5"/>
  <c r="J27" i="5"/>
  <c r="K26" i="5"/>
  <c r="J26" i="5"/>
  <c r="K25" i="5"/>
  <c r="J25" i="5"/>
  <c r="K24" i="5"/>
  <c r="J24" i="5"/>
  <c r="K23" i="5"/>
  <c r="J23" i="5"/>
  <c r="K22" i="5"/>
  <c r="J22" i="5"/>
  <c r="K21" i="5"/>
  <c r="J21" i="5"/>
  <c r="K20" i="5"/>
  <c r="J20" i="5"/>
  <c r="K19" i="5"/>
  <c r="J19" i="5"/>
  <c r="K18" i="5"/>
  <c r="J18" i="5"/>
  <c r="K17" i="5"/>
  <c r="J17" i="5"/>
  <c r="K16" i="5"/>
  <c r="J16" i="5"/>
  <c r="K15" i="5"/>
  <c r="J15" i="5"/>
  <c r="K14" i="5"/>
  <c r="J14" i="5"/>
  <c r="K13" i="5"/>
  <c r="J13" i="5"/>
  <c r="K12" i="5"/>
  <c r="J12" i="5"/>
  <c r="K11" i="5"/>
  <c r="J11" i="5"/>
  <c r="K10" i="5"/>
  <c r="J10" i="5"/>
  <c r="K9" i="5"/>
  <c r="J9" i="5"/>
  <c r="K8" i="5"/>
  <c r="J8" i="5"/>
  <c r="K7" i="5"/>
  <c r="J7" i="5"/>
  <c r="K6" i="5"/>
  <c r="J6" i="5"/>
  <c r="K5" i="5"/>
  <c r="J5" i="5"/>
  <c r="K4" i="5"/>
  <c r="J4" i="5"/>
  <c r="K3" i="5"/>
  <c r="J3" i="5"/>
  <c r="K2" i="5"/>
  <c r="J2" i="5"/>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2" i="1"/>
  <c r="C8" i="2"/>
  <c r="C7" i="2"/>
  <c r="C6" i="2"/>
  <c r="C5" i="2"/>
  <c r="C4" i="2"/>
  <c r="C3" i="2"/>
</calcChain>
</file>

<file path=xl/sharedStrings.xml><?xml version="1.0" encoding="utf-8"?>
<sst xmlns="http://schemas.openxmlformats.org/spreadsheetml/2006/main" count="912" uniqueCount="259">
  <si>
    <t>Order Date</t>
  </si>
  <si>
    <t>Region</t>
  </si>
  <si>
    <t>Category</t>
  </si>
  <si>
    <t>Product ID</t>
  </si>
  <si>
    <t>Product Name</t>
  </si>
  <si>
    <t>Customer Email</t>
  </si>
  <si>
    <t>Sales</t>
  </si>
  <si>
    <t>Profit</t>
  </si>
  <si>
    <t>North</t>
  </si>
  <si>
    <t>Technology</t>
  </si>
  <si>
    <t>P1006</t>
  </si>
  <si>
    <t>keyboard</t>
  </si>
  <si>
    <t>sneha.singh60@yahoo.com</t>
  </si>
  <si>
    <t>East</t>
  </si>
  <si>
    <t>Furniture</t>
  </si>
  <si>
    <t>vikram.roy61@outlook.com</t>
  </si>
  <si>
    <t>South</t>
  </si>
  <si>
    <t>P1002</t>
  </si>
  <si>
    <t>wireless mouse</t>
  </si>
  <si>
    <t>anita.das48@yahoo.com</t>
  </si>
  <si>
    <t>P1005</t>
  </si>
  <si>
    <t>printer</t>
  </si>
  <si>
    <t>anita.mehta51@companymail.com</t>
  </si>
  <si>
    <t>P1007</t>
  </si>
  <si>
    <t>monitor</t>
  </si>
  <si>
    <t>arjun.mehta26@outlook.com</t>
  </si>
  <si>
    <t>amit.roy18@companymail.com</t>
  </si>
  <si>
    <t>sneha.das6@outlook.com</t>
  </si>
  <si>
    <t>Office Supplies</t>
  </si>
  <si>
    <t>amit.mehta19@gmail.com</t>
  </si>
  <si>
    <t>kavya.sharma2@outlook.com</t>
  </si>
  <si>
    <t>P1003</t>
  </si>
  <si>
    <t>office chair</t>
  </si>
  <si>
    <t>rahul.nair45@yahoo.com</t>
  </si>
  <si>
    <t>kavya.roy72@gmail.com</t>
  </si>
  <si>
    <t>West</t>
  </si>
  <si>
    <t>arjun.nair73@gmail.com</t>
  </si>
  <si>
    <t>P1001</t>
  </si>
  <si>
    <t>laptop stand</t>
  </si>
  <si>
    <t>anita.mehta53@outlook.com</t>
  </si>
  <si>
    <t>rohit.iyer77@outlook.com</t>
  </si>
  <si>
    <t>anita.iyer30@outlook.com</t>
  </si>
  <si>
    <t>P1004</t>
  </si>
  <si>
    <t>desk lamp</t>
  </si>
  <si>
    <t>sneha.das7@outlook.com</t>
  </si>
  <si>
    <t>rahul.nair82@outlook.com</t>
  </si>
  <si>
    <t>sneha.gupta81@gmail.com</t>
  </si>
  <si>
    <t>kavya.iyer69@yahoo.com</t>
  </si>
  <si>
    <t>sneha.das92@yahoo.com</t>
  </si>
  <si>
    <t>anita.das78@gmail.com</t>
  </si>
  <si>
    <t>rohit.singh36@outlook.com</t>
  </si>
  <si>
    <t>rohit.sharma37@gmail.com</t>
  </si>
  <si>
    <t>rahul.roy29@gmail.com</t>
  </si>
  <si>
    <t>neha.nair29@companymail.com</t>
  </si>
  <si>
    <t>sneha.das11@yahoo.com</t>
  </si>
  <si>
    <t>amit.das47@yahoo.com</t>
  </si>
  <si>
    <t>rohit.das59@gmail.com</t>
  </si>
  <si>
    <t>anita.gupta59@outlook.com</t>
  </si>
  <si>
    <t>arjun.das58@yahoo.com</t>
  </si>
  <si>
    <t>priya.roy96@gmail.com</t>
  </si>
  <si>
    <t>vikram.roy77@gmail.com</t>
  </si>
  <si>
    <t>kavya.nair88@companymail.com</t>
  </si>
  <si>
    <t>amit.iyer99@outlook.com</t>
  </si>
  <si>
    <t>amit.sharma20@gmail.com</t>
  </si>
  <si>
    <t>kavya.verma20@gmail.com</t>
  </si>
  <si>
    <t>rahul.roy94@companymail.com</t>
  </si>
  <si>
    <t>neha.verma93@yahoo.com</t>
  </si>
  <si>
    <t>kavya.sharma65@gmail.com</t>
  </si>
  <si>
    <t>priya.nair35@outlook.com</t>
  </si>
  <si>
    <t>amit.iyer78@outlook.com</t>
  </si>
  <si>
    <t>priya.iyer48@outlook.com</t>
  </si>
  <si>
    <t>vikram.iyer87@gmail.com</t>
  </si>
  <si>
    <t>sneha.patel14@companymail.com</t>
  </si>
  <si>
    <t>rahul.nair78@yahoo.com</t>
  </si>
  <si>
    <t>sneha.patel41@outlook.com</t>
  </si>
  <si>
    <t>vikram.mehta90@yahoo.com</t>
  </si>
  <si>
    <t>amit.nair82@outlook.com</t>
  </si>
  <si>
    <t>rohit.das46@yahoo.com</t>
  </si>
  <si>
    <t>neha.sharma13@companymail.com</t>
  </si>
  <si>
    <t>rahul.patel37@gmail.com</t>
  </si>
  <si>
    <t>priya.singh3@yahoo.com</t>
  </si>
  <si>
    <t>anita.iyer23@companymail.com</t>
  </si>
  <si>
    <t>priya.gupta95@yahoo.com</t>
  </si>
  <si>
    <t>vikram.mehta27@yahoo.com</t>
  </si>
  <si>
    <t>arjun.roy38@gmail.com</t>
  </si>
  <si>
    <t>amit.das3@yahoo.com</t>
  </si>
  <si>
    <t>priya.nair51@outlook.com</t>
  </si>
  <si>
    <t>kavya.patel70@gmail.com</t>
  </si>
  <si>
    <t>anita.das76@yahoo.com</t>
  </si>
  <si>
    <t>amit.sharma79@companymail.com</t>
  </si>
  <si>
    <t>neha.roy70@companymail.com</t>
  </si>
  <si>
    <t>kavya.singh24@gmail.com</t>
  </si>
  <si>
    <t>rahul.singh21@yahoo.com</t>
  </si>
  <si>
    <t>kavya.singh46@outlook.com</t>
  </si>
  <si>
    <t>rohit.sharma57@gmail.com</t>
  </si>
  <si>
    <t>vikram.gupta68@gmail.com</t>
  </si>
  <si>
    <t>neha.gupta95@gmail.com</t>
  </si>
  <si>
    <t>priya.sharma66@yahoo.com</t>
  </si>
  <si>
    <t>vikram.nair43@gmail.com</t>
  </si>
  <si>
    <t>amit.nair97@outlook.com</t>
  </si>
  <si>
    <t>neha.das26@outlook.com</t>
  </si>
  <si>
    <t>vikram.patel20@gmail.com</t>
  </si>
  <si>
    <t>rahul.patel25@yahoo.com</t>
  </si>
  <si>
    <t>arjun.nair86@companymail.com</t>
  </si>
  <si>
    <t>neha.das52@companymail.com</t>
  </si>
  <si>
    <t>priya.gupta92@outlook.com</t>
  </si>
  <si>
    <t>arjun.das58@outlook.com</t>
  </si>
  <si>
    <t>anita.roy38@companymail.com</t>
  </si>
  <si>
    <t>vikram.sharma27@outlook.com</t>
  </si>
  <si>
    <t>Total Sales</t>
  </si>
  <si>
    <t>Average Sales</t>
  </si>
  <si>
    <t>Metrics</t>
  </si>
  <si>
    <t>Formula Used</t>
  </si>
  <si>
    <t>Output</t>
  </si>
  <si>
    <t>Highest Sales</t>
  </si>
  <si>
    <t>Lowest Sales</t>
  </si>
  <si>
    <t>Total no of sales records</t>
  </si>
  <si>
    <t>SUM()</t>
  </si>
  <si>
    <t>AVERAGE()</t>
  </si>
  <si>
    <t>MAX()</t>
  </si>
  <si>
    <t>MIN()</t>
  </si>
  <si>
    <t>COUNT()</t>
  </si>
  <si>
    <t>COUNTA()</t>
  </si>
  <si>
    <t>Comments</t>
  </si>
  <si>
    <t xml:space="preserve">This give the overall sales figure </t>
  </si>
  <si>
    <t>This shows average sale value per order</t>
  </si>
  <si>
    <t>This tell us the best performing order in sales dataset</t>
  </si>
  <si>
    <t>Task 1 - Summary Table(With calc involved)</t>
  </si>
  <si>
    <t xml:space="preserve">This gives us the smallest order value </t>
  </si>
  <si>
    <t xml:space="preserve">This counts only numeric values </t>
  </si>
  <si>
    <t>-</t>
  </si>
  <si>
    <t>This counts non-empty cells in the dataset (numbers and text if any)</t>
  </si>
  <si>
    <t>Sales Category</t>
  </si>
  <si>
    <t>Performance Status</t>
  </si>
  <si>
    <t>Column names</t>
  </si>
  <si>
    <t>Task 2 - Summary Table(With calc columns)</t>
  </si>
  <si>
    <t>IF()</t>
  </si>
  <si>
    <t>Sales category</t>
  </si>
  <si>
    <t>Low Sales/High Sales</t>
  </si>
  <si>
    <t xml:space="preserve">IF() AND() </t>
  </si>
  <si>
    <t>Good performance/Needs Improvement</t>
  </si>
  <si>
    <t>The IF function was used to classify sales into High and Low categories</t>
  </si>
  <si>
    <t>The AND function was applied along with IF to evaluate performance based on multiple conditions involving Sales and Profit.</t>
  </si>
  <si>
    <t xml:space="preserve"> keyboard</t>
  </si>
  <si>
    <t xml:space="preserve">  office chair</t>
  </si>
  <si>
    <t xml:space="preserve">  keyboard</t>
  </si>
  <si>
    <t>sneha.singh60</t>
  </si>
  <si>
    <t>yahoo.com</t>
  </si>
  <si>
    <t>vikram.roy61</t>
  </si>
  <si>
    <t>outlook.com</t>
  </si>
  <si>
    <t>anita.das48</t>
  </si>
  <si>
    <t>anita.mehta51</t>
  </si>
  <si>
    <t>companymail.com</t>
  </si>
  <si>
    <t>arjun.mehta26</t>
  </si>
  <si>
    <t>amit.roy18</t>
  </si>
  <si>
    <t>sneha.das6</t>
  </si>
  <si>
    <t>amit.mehta19</t>
  </si>
  <si>
    <t>gmail.com</t>
  </si>
  <si>
    <t>kavya.sharma2</t>
  </si>
  <si>
    <t>rahul.nair45</t>
  </si>
  <si>
    <t>kavya.roy72</t>
  </si>
  <si>
    <t>arjun.nair73</t>
  </si>
  <si>
    <t>anita.mehta53</t>
  </si>
  <si>
    <t>rohit.iyer77</t>
  </si>
  <si>
    <t>anita.iyer30</t>
  </si>
  <si>
    <t>sneha.das7</t>
  </si>
  <si>
    <t>rahul.nair82</t>
  </si>
  <si>
    <t>sneha.gupta81</t>
  </si>
  <si>
    <t>kavya.iyer69</t>
  </si>
  <si>
    <t>sneha.das92</t>
  </si>
  <si>
    <t>anita.das78</t>
  </si>
  <si>
    <t>rohit.singh36</t>
  </si>
  <si>
    <t>rohit.sharma37</t>
  </si>
  <si>
    <t>rahul.roy29</t>
  </si>
  <si>
    <t>neha.nair29</t>
  </si>
  <si>
    <t>sneha.das11</t>
  </si>
  <si>
    <t>amit.das47</t>
  </si>
  <si>
    <t>rohit.das59</t>
  </si>
  <si>
    <t>anita.gupta59</t>
  </si>
  <si>
    <t>arjun.das58</t>
  </si>
  <si>
    <t>priya.roy96</t>
  </si>
  <si>
    <t>vikram.roy77</t>
  </si>
  <si>
    <t>kavya.nair88</t>
  </si>
  <si>
    <t>amit.iyer99</t>
  </si>
  <si>
    <t>amit.sharma20</t>
  </si>
  <si>
    <t>kavya.verma20</t>
  </si>
  <si>
    <t>rahul.roy94</t>
  </si>
  <si>
    <t>neha.verma93</t>
  </si>
  <si>
    <t>kavya.sharma65</t>
  </si>
  <si>
    <t>priya.nair35</t>
  </si>
  <si>
    <t>amit.iyer78</t>
  </si>
  <si>
    <t>priya.iyer48</t>
  </si>
  <si>
    <t>vikram.iyer87</t>
  </si>
  <si>
    <t>sneha.patel14</t>
  </si>
  <si>
    <t>rahul.nair78</t>
  </si>
  <si>
    <t>sneha.patel41</t>
  </si>
  <si>
    <t>vikram.mehta90</t>
  </si>
  <si>
    <t>amit.nair82</t>
  </si>
  <si>
    <t>rohit.das46</t>
  </si>
  <si>
    <t>neha.sharma13</t>
  </si>
  <si>
    <t>rahul.patel37</t>
  </si>
  <si>
    <t>priya.singh3</t>
  </si>
  <si>
    <t>anita.iyer23</t>
  </si>
  <si>
    <t>priya.gupta95</t>
  </si>
  <si>
    <t>vikram.mehta27</t>
  </si>
  <si>
    <t>arjun.roy38</t>
  </si>
  <si>
    <t>amit.das3</t>
  </si>
  <si>
    <t>priya.nair51</t>
  </si>
  <si>
    <t>kavya.patel70</t>
  </si>
  <si>
    <t>anita.das76</t>
  </si>
  <si>
    <t>amit.sharma79</t>
  </si>
  <si>
    <t>neha.roy70</t>
  </si>
  <si>
    <t>kavya.singh24</t>
  </si>
  <si>
    <t>rahul.singh21</t>
  </si>
  <si>
    <t>kavya.singh46</t>
  </si>
  <si>
    <t>rohit.sharma57</t>
  </si>
  <si>
    <t>vikram.gupta68</t>
  </si>
  <si>
    <t>neha.gupta95</t>
  </si>
  <si>
    <t>priya.sharma66</t>
  </si>
  <si>
    <t>vikram.nair43</t>
  </si>
  <si>
    <t>amit.nair97</t>
  </si>
  <si>
    <t>neha.das26</t>
  </si>
  <si>
    <t>vikram.patel20</t>
  </si>
  <si>
    <t>rahul.patel25</t>
  </si>
  <si>
    <t>arjun.nair86</t>
  </si>
  <si>
    <t>neha.das52</t>
  </si>
  <si>
    <t>priya.gupta92</t>
  </si>
  <si>
    <t>anita.roy38</t>
  </si>
  <si>
    <t>vikram.sharma27</t>
  </si>
  <si>
    <t>Email Username</t>
  </si>
  <si>
    <t>Email Domain</t>
  </si>
  <si>
    <t xml:space="preserve">Category </t>
  </si>
  <si>
    <t>No duplicates found, No spelling errors, username and domain are separated from email address and proper/trim function is used to remove unwanted spaces as well as capitalize each word</t>
  </si>
  <si>
    <t>Year</t>
  </si>
  <si>
    <t>Month</t>
  </si>
  <si>
    <t>Lookup functions were used to fetch category details based on Product ID. XLOOKUP was preferred due to its flexibility as it moves in every direction whether left or right, top or bottom. Date functions such as YEAR() and TEXT() were used to extract year and month from order dates for time-based analysis (check sales_data tab)</t>
  </si>
  <si>
    <t>Grand Total</t>
  </si>
  <si>
    <t>Sum of Sales</t>
  </si>
  <si>
    <t>Comments-</t>
  </si>
  <si>
    <t>This pivot table shows the total sales with respect to each region</t>
  </si>
  <si>
    <t>Profit %</t>
  </si>
  <si>
    <t>This pivot table clearly shows the profit contribution with respect to each category</t>
  </si>
  <si>
    <t>January</t>
  </si>
  <si>
    <t>February</t>
  </si>
  <si>
    <t>March</t>
  </si>
  <si>
    <t>April</t>
  </si>
  <si>
    <t>May</t>
  </si>
  <si>
    <t>June</t>
  </si>
  <si>
    <t>July</t>
  </si>
  <si>
    <t>August</t>
  </si>
  <si>
    <t>September</t>
  </si>
  <si>
    <t>October</t>
  </si>
  <si>
    <t>November</t>
  </si>
  <si>
    <t>December</t>
  </si>
  <si>
    <t>Months</t>
  </si>
  <si>
    <t>This pivot table clearly shows the month over month sales volume.</t>
  </si>
  <si>
    <t xml:space="preserve">                                                   Sales Performance Dashboard</t>
  </si>
  <si>
    <t>Average of Sales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</si>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</sst>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
  </numFmts>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165" fontId="0" fillId="0" borderId="0" xfId="0" applyNumberFormat="1"/>
    <xf numFmtId="0" fontId="1" fillId="0" borderId="0" xfId="0" applyFont="1" applyAlignment="1">
      <alignment horizontal="center"/>
    </xf>
    <xf numFmtId="165" fontId="0" fillId="0" borderId="0" xfId="0" applyNumberFormat="1" applyAlignment="1">
      <alignment horizontal="center"/>
    </xf>
    <xf numFmtId="0" fontId="0" fillId="0" borderId="0" xfId="0" applyAlignment="1">
      <alignment horizontal="center"/>
    </xf>
    <xf numFmtId="164" fontId="0" fillId="0" borderId="0" xfId="0" applyNumberFormat="1" applyAlignment="1">
      <alignment horizontal="center"/>
    </xf>
    <xf numFmtId="0" fontId="1" fillId="0" borderId="0" xfId="0" applyFont="1" applyAlignment="1">
      <alignment horizontal="left"/>
    </xf>
    <xf numFmtId="0" fontId="0" fillId="0" borderId="0" xfId="0" applyAlignment="1">
      <alignment horizontal="left"/>
    </xf>
    <xf numFmtId="0" fontId="0" fillId="0" borderId="0" xfId="0" applyAlignment="1">
      <alignment vertical="center"/>
    </xf>
    <xf numFmtId="0" fontId="1" fillId="0" borderId="0" xfId="0" applyFont="1" applyAlignment="1">
      <alignment vertical="center"/>
    </xf>
    <xf numFmtId="0" fontId="0" fillId="0" borderId="0" xfId="0" applyAlignment="1">
      <alignment vertical="center" wrapText="1"/>
    </xf>
    <xf numFmtId="0" fontId="0" fillId="0" borderId="0" xfId="0" pivotButton="1"/>
    <xf numFmtId="9" fontId="0" fillId="0" borderId="0" xfId="0" applyNumberFormat="1"/>
    <xf numFmtId="0" fontId="0" fillId="3" borderId="0" xfId="0" applyFill="1"/>
    <xf numFmtId="0" fontId="1" fillId="2" borderId="0" xfId="0" applyFont="1" applyFill="1" applyAlignment="1">
      <alignment horizontal="center"/>
    </xf>
    <xf numFmtId="0" fontId="1" fillId="2" borderId="0" xfId="0" applyFont="1" applyFill="1" applyAlignment="1">
      <alignment horizontal="center" vertical="center"/>
    </xf>
    <xf numFmtId="0" fontId="2" fillId="3" borderId="0" xfId="0" applyFont="1" applyFill="1" applyAlignment="1">
      <alignment horizontal="left"/>
    </xf>
    <xf numFmtId="0" fontId="0" fillId="3" borderId="0" xfId="0" applyFill="1" applyAlignment="1">
      <alignment horizontal="left"/>
    </xf>
    <xf numFmtId="165" fontId="0" fillId="3" borderId="0" xfId="0" applyNumberFormat="1" applyFill="1"/>
    <xf numFmtId="0" fontId="0" fillId="0" borderId="0" xfId="0" applyNumberFormat="1"/>
  </cellXfs>
  <cellStyles count="1">
    <cellStyle name="Normal" xfId="0" builtinId="0"/>
  </cellStyles>
  <dxfs count="19">
    <dxf>
      <numFmt numFmtId="13" formatCode="0%"/>
    </dxf>
    <dxf>
      <numFmt numFmtId="13" formatCode="0%"/>
    </dxf>
    <dxf>
      <numFmt numFmtId="165" formatCode="&quot;₹&quot;\ #,##0"/>
    </dxf>
    <dxf>
      <numFmt numFmtId="165" formatCode="&quot;₹&quot;\ #,##0"/>
    </dxf>
    <dxf>
      <numFmt numFmtId="165" formatCode="&quot;₹&quot;\ #,##0"/>
    </dxf>
    <dxf>
      <numFmt numFmtId="165" formatCode="&quot;₹&quot;\ #,##0"/>
    </dxf>
    <dxf>
      <numFmt numFmtId="165" formatCode="&quot;₹&quot;\ #,##0"/>
    </dxf>
    <dxf>
      <numFmt numFmtId="13" formatCode="0%"/>
    </dxf>
    <dxf>
      <numFmt numFmtId="13" formatCode="0%"/>
    </dxf>
    <dxf>
      <numFmt numFmtId="165" formatCode="&quot;₹&quot;\ #,##0"/>
    </dxf>
    <dxf>
      <numFmt numFmtId="165" formatCode="&quot;₹&quot;\ #,##0"/>
    </dxf>
    <dxf>
      <numFmt numFmtId="165" formatCode="&quot;₹&quot;\ #,##0"/>
    </dxf>
    <dxf>
      <numFmt numFmtId="13" formatCode="0%"/>
    </dxf>
    <dxf>
      <numFmt numFmtId="13" formatCode="0%"/>
    </dxf>
    <dxf>
      <numFmt numFmtId="165" formatCode="&quot;₹&quot;\ #,##0"/>
    </dxf>
    <dxf>
      <numFmt numFmtId="165" formatCode="&quot;₹&quot;\ #,##0"/>
    </dxf>
    <dxf>
      <numFmt numFmtId="165" formatCode="&quot;₹&quot;\ #,##0"/>
    </dxf>
    <dxf>
      <numFmt numFmtId="165" formatCode="&quot;₹&quot;\ #,##0"/>
    </dxf>
    <dxf>
      <numFmt numFmtId="165" formatCode="&quot;₹&quot;\ #,##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dataset.xlsx]Task 5- Region wise sales!PivotTable1</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Sales by region</a:t>
            </a:r>
          </a:p>
        </c:rich>
      </c:tx>
      <c:layout>
        <c:manualLayout>
          <c:xMode val="edge"/>
          <c:yMode val="edge"/>
          <c:x val="0.27175603566083167"/>
          <c:y val="2.298850574712643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36363636363634"/>
                  <c:h val="0.15302681992337164"/>
                </c:manualLayout>
              </c15:layout>
            </c:ext>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36363636363634"/>
                  <c:h val="0.15302681992337164"/>
                </c:manualLayout>
              </c15:layout>
            </c:ext>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36363636363634"/>
                  <c:h val="0.15302681992337164"/>
                </c:manualLayout>
              </c15:layout>
            </c:ext>
          </c:extLst>
        </c:dLbl>
      </c:pivotFmt>
    </c:pivotFmts>
    <c:plotArea>
      <c:layout/>
      <c:barChart>
        <c:barDir val="col"/>
        <c:grouping val="clustered"/>
        <c:varyColors val="0"/>
        <c:ser>
          <c:idx val="0"/>
          <c:order val="0"/>
          <c:tx>
            <c:strRef>
              <c:f>'Task 5- Region wise sales'!$B$2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extLst>
              <c:ext xmlns:c16="http://schemas.microsoft.com/office/drawing/2014/chart" uri="{C3380CC4-5D6E-409C-BE32-E72D297353CC}">
                <c16:uniqueId val="{00000000-0E78-4B9B-AFEE-123FF7C87793}"/>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36363636363634"/>
                      <c:h val="0.15302681992337164"/>
                    </c:manualLayout>
                  </c15:layout>
                </c:ext>
                <c:ext xmlns:c16="http://schemas.microsoft.com/office/drawing/2014/chart" uri="{C3380CC4-5D6E-409C-BE32-E72D297353CC}">
                  <c16:uniqueId val="{00000000-0E78-4B9B-AFEE-123FF7C877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'Task 5- Region wise sales'!$A$3:$A$7</c:f>
              <c:strCache>
                <c:ptCount val="4"/>
                <c:pt idx="0">
                  <c:v>East</c:v>
                </c:pt>
                <c:pt idx="1">
                  <c:v>North</c:v>
                </c:pt>
                <c:pt idx="2">
                  <c:v>South</c:v>
                </c:pt>
                <c:pt idx="3">
                  <c:v>West</c:v>
                </c:pt>
              </c:strCache>
            </c:strRef>
          </c:cat>
          <c:val>
            <c:numRef>
              <c:f>'Task 5- Region wise sales'!$B$3:$B$7</c:f>
              <c:numCache>
                <c:formatCode>"₹"\ #,##0</c:formatCode>
                <c:ptCount val="4"/>
                <c:pt idx="0">
                  <c:v>1374664</c:v>
                </c:pt>
                <c:pt idx="1">
                  <c:v>994379</c:v>
                </c:pt>
                <c:pt idx="2">
                  <c:v>865517</c:v>
                </c:pt>
                <c:pt idx="3">
                  <c:v>830278</c:v>
                </c:pt>
              </c:numCache>
            </c:numRef>
          </c:val>
          <c:extLst>
            <c:ext xmlns:c16="http://schemas.microsoft.com/office/drawing/2014/chart" uri="{C3380CC4-5D6E-409C-BE32-E72D297353CC}">
              <c16:uniqueId val="{00000001-0E78-4B9B-AFEE-123FF7C87793}"/>
            </c:ext>
          </c:extLst>
        </c:ser>
        <c:dLbls>
          <c:dLblPos val="outEnd"/>
          <c:showLegendKey val="0"/>
          <c:showVal val="1"/>
          <c:showCatName val="0"/>
          <c:showSerName val="0"/>
          <c:showPercent val="0"/>
          <c:showBubbleSize val="0"/>
        </c:dLbls>
        <c:gapWidth val="315"/>
        <c:overlap val="-40"/>
        <c:axId val="483027216"/>
        <c:axId val="483028176"/>
      </c:barChart>
      <c:catAx>
        <c:axId val="483027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3028176"/>
        <c:crosses val="autoZero"/>
        <c:auto val="1"/>
        <c:lblAlgn val="ctr"/>
        <c:lblOffset val="100"/>
        <c:noMultiLvlLbl val="0"/>
      </c:catAx>
      <c:valAx>
        <c:axId val="483028176"/>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302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dataset.xlsx]Task 5- Profit by category!PivotTable2</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Profit % by 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5- Profit by category'!$B$2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'Task 5- Profit by category'!$A$3:$A$6</c:f>
              <c:strCache>
                <c:ptCount val="3"/>
                <c:pt idx="0">
                  <c:v>Furniture</c:v>
                </c:pt>
                <c:pt idx="1">
                  <c:v>Office Supplies</c:v>
                </c:pt>
                <c:pt idx="2">
                  <c:v>Technology</c:v>
                </c:pt>
              </c:strCache>
            </c:strRef>
          </c:cat>
          <c:val>
            <c:numRef>
              <c:f>'Task 5- Profit by category'!$B$3:$B$6</c:f>
              <c:numCache>
                <c:formatCode>0%</c:formatCode>
                <c:ptCount val="3"/>
                <c:pt idx="0">
                  <c:v>0.30846336037484778</c:v>
                </c:pt>
                <c:pt idx="1">
                  <c:v>0.36517604385554797</c:v>
                </c:pt>
                <c:pt idx="2">
                  <c:v>0.32636059576960424</c:v>
                </c:pt>
              </c:numCache>
            </c:numRef>
          </c:val>
          <c:extLst>
            <c:ext xmlns:c16="http://schemas.microsoft.com/office/drawing/2014/chart" uri="{C3380CC4-5D6E-409C-BE32-E72D297353CC}">
              <c16:uniqueId val="{00000000-0AFB-4D43-B836-E6DF27AF2A57}"/>
            </c:ext>
          </c:extLst>
        </c:ser>
        <c:dLbls>
          <c:dLblPos val="outEnd"/>
          <c:showLegendKey val="0"/>
          <c:showVal val="1"/>
          <c:showCatName val="0"/>
          <c:showSerName val="0"/>
          <c:showPercent val="0"/>
          <c:showBubbleSize val="0"/>
        </c:dLbls>
        <c:gapWidth val="182"/>
        <c:overlap val="-50"/>
        <c:axId val="833003680"/>
        <c:axId val="833004160"/>
      </c:barChart>
      <c:catAx>
        <c:axId val="833003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3004160"/>
        <c:crosses val="autoZero"/>
        <c:auto val="1"/>
        <c:lblAlgn val="ctr"/>
        <c:lblOffset val="100"/>
        <c:noMultiLvlLbl val="0"/>
      </c:catAx>
      <c:valAx>
        <c:axId val="83300416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300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dataset.xlsx]Task 5- Monthly sales!PivotTable3</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8.1689189189189187E-2"/>
              <c:y val="-0.1701045151700481"/>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6.8175675675675743E-2"/>
              <c:y val="5.67610498243977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0195945945945946"/>
              <c:y val="-0.19398510095893715"/>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6.4797297297297302E-2"/>
              <c:y val="-8.652246490893646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4.452702702702703E-2"/>
              <c:y val="-0.19995524740615941"/>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6.1418918918918979E-2"/>
              <c:y val="-0.12831349003949227"/>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7.1554054054054059E-2"/>
              <c:y val="6.870134271884230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9.8581081081081087E-2"/>
              <c:y val="-0.1223433435922700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7.6583847627154714E-2"/>
              <c:y val="5.079090337717551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9.84627578033810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8.1689189189189187E-2"/>
              <c:y val="-0.1701045151700481"/>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6.8175675675675743E-2"/>
              <c:y val="5.67610498243977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10195945945945946"/>
              <c:y val="-0.19398510095893715"/>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6.4797297297297302E-2"/>
              <c:y val="-8.652246490893646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6.1418918918918979E-2"/>
              <c:y val="-0.12831349003949227"/>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4.452702702702703E-2"/>
              <c:y val="-0.19995524740615941"/>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7.1554054054054059E-2"/>
              <c:y val="6.870134271884230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9.8581081081081087E-2"/>
              <c:y val="-0.1223433435922700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7.6583847627154714E-2"/>
              <c:y val="5.079090337717551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
              <c:y val="-9.84627578033810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1689189189189187E-2"/>
              <c:y val="-0.17010451517004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8175675675675743E-2"/>
              <c:y val="5.6761049824397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10195945945945946"/>
              <c:y val="-0.193985100958937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4797297297297302E-2"/>
              <c:y val="-8.6522464908936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1418918918918979E-2"/>
              <c:y val="-0.128313490039492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452702702702703E-2"/>
              <c:y val="-0.19995524740615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1554054054054059E-2"/>
              <c:y val="6.8701342718842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9.8581081081081087E-2"/>
              <c:y val="-0.122343343592270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6583847627154714E-2"/>
              <c:y val="5.07909033771755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
              <c:y val="-9.8462757803381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1689189189189187E-2"/>
              <c:y val="-0.17010451517004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8175675675675743E-2"/>
              <c:y val="5.6761049824397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10195945945945946"/>
              <c:y val="-0.193985100958937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4797297297297302E-2"/>
              <c:y val="-8.6522464908936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1418918918918979E-2"/>
              <c:y val="-0.128313490039492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452702702702703E-2"/>
              <c:y val="-0.19995524740615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1554054054054059E-2"/>
              <c:y val="6.8701342718842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9.8581081081081087E-2"/>
              <c:y val="-0.122343343592270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6583847627154714E-2"/>
              <c:y val="5.07909033771755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
              <c:y val="-9.8462757803381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1689189189189187E-2"/>
              <c:y val="-0.17010451517004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8175675675675743E-2"/>
              <c:y val="5.6761049824397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10195945945945946"/>
              <c:y val="-0.193985100958937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4797297297297302E-2"/>
              <c:y val="-8.6522464908936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1418918918918979E-2"/>
              <c:y val="-0.128313490039492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452702702702703E-2"/>
              <c:y val="-0.19995524740615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1554054054054059E-2"/>
              <c:y val="6.8701342718842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9.8581081081081087E-2"/>
              <c:y val="-0.122343343592270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6583847627154714E-2"/>
              <c:y val="5.07909033771755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
              <c:y val="-9.8462757803381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86869546712066"/>
          <c:y val="0.23865683927284556"/>
          <c:w val="0.82023941264098743"/>
          <c:h val="0.45964909641598478"/>
        </c:manualLayout>
      </c:layout>
      <c:lineChart>
        <c:grouping val="standard"/>
        <c:varyColors val="0"/>
        <c:ser>
          <c:idx val="0"/>
          <c:order val="0"/>
          <c:tx>
            <c:strRef>
              <c:f>'Task 5- Monthly sales'!$B$2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0-ADE4-4172-8D92-6A7410698BA9}"/>
              </c:ext>
            </c:extLst>
          </c:dPt>
          <c:dPt>
            <c:idx val="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1-ADE4-4172-8D92-6A7410698BA9}"/>
              </c:ext>
            </c:extLst>
          </c:dPt>
          <c:dPt>
            <c:idx val="3"/>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2-ADE4-4172-8D92-6A7410698BA9}"/>
              </c:ext>
            </c:extLst>
          </c:dPt>
          <c:dPt>
            <c:idx val="4"/>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3-ADE4-4172-8D92-6A7410698BA9}"/>
              </c:ext>
            </c:extLst>
          </c:dPt>
          <c:dPt>
            <c:idx val="5"/>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4-ADE4-4172-8D92-6A7410698BA9}"/>
              </c:ext>
            </c:extLst>
          </c:dPt>
          <c:dPt>
            <c:idx val="6"/>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5-ADE4-4172-8D92-6A7410698BA9}"/>
              </c:ext>
            </c:extLst>
          </c:dPt>
          <c:dPt>
            <c:idx val="7"/>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6-ADE4-4172-8D92-6A7410698BA9}"/>
              </c:ext>
            </c:extLst>
          </c:dPt>
          <c:dPt>
            <c:idx val="8"/>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7-ADE4-4172-8D92-6A7410698BA9}"/>
              </c:ext>
            </c:extLst>
          </c:dPt>
          <c:dPt>
            <c:idx val="1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8-ADE4-4172-8D92-6A7410698BA9}"/>
              </c:ext>
            </c:extLst>
          </c:dPt>
          <c:dPt>
            <c:idx val="1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9-ADE4-4172-8D92-6A7410698BA9}"/>
              </c:ext>
            </c:extLst>
          </c:dPt>
          <c:dLbls>
            <c:dLbl>
              <c:idx val="1"/>
              <c:layout>
                <c:manualLayout>
                  <c:x val="-8.1689189189189187E-2"/>
                  <c:y val="-0.170104515170048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DE4-4172-8D92-6A7410698BA9}"/>
                </c:ext>
              </c:extLst>
            </c:dLbl>
            <c:dLbl>
              <c:idx val="2"/>
              <c:layout>
                <c:manualLayout>
                  <c:x val="-6.8175675675675743E-2"/>
                  <c:y val="5.6761049824397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E4-4172-8D92-6A7410698BA9}"/>
                </c:ext>
              </c:extLst>
            </c:dLbl>
            <c:dLbl>
              <c:idx val="3"/>
              <c:layout>
                <c:manualLayout>
                  <c:x val="-0.10195945945945946"/>
                  <c:y val="-0.193985100958937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DE4-4172-8D92-6A7410698BA9}"/>
                </c:ext>
              </c:extLst>
            </c:dLbl>
            <c:dLbl>
              <c:idx val="4"/>
              <c:layout>
                <c:manualLayout>
                  <c:x val="-6.4797297297297302E-2"/>
                  <c:y val="-8.65224649089364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DE4-4172-8D92-6A7410698BA9}"/>
                </c:ext>
              </c:extLst>
            </c:dLbl>
            <c:dLbl>
              <c:idx val="5"/>
              <c:layout>
                <c:manualLayout>
                  <c:x val="-6.1418918918918979E-2"/>
                  <c:y val="-0.1283134900394922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DE4-4172-8D92-6A7410698BA9}"/>
                </c:ext>
              </c:extLst>
            </c:dLbl>
            <c:dLbl>
              <c:idx val="6"/>
              <c:layout>
                <c:manualLayout>
                  <c:x val="-4.452702702702703E-2"/>
                  <c:y val="-0.1999552474061594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DE4-4172-8D92-6A7410698BA9}"/>
                </c:ext>
              </c:extLst>
            </c:dLbl>
            <c:dLbl>
              <c:idx val="7"/>
              <c:layout>
                <c:manualLayout>
                  <c:x val="-7.1554054054054059E-2"/>
                  <c:y val="6.87013427188423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DE4-4172-8D92-6A7410698BA9}"/>
                </c:ext>
              </c:extLst>
            </c:dLbl>
            <c:dLbl>
              <c:idx val="8"/>
              <c:layout>
                <c:manualLayout>
                  <c:x val="-9.8581081081081087E-2"/>
                  <c:y val="-0.1223433435922700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DE4-4172-8D92-6A7410698BA9}"/>
                </c:ext>
              </c:extLst>
            </c:dLbl>
            <c:dLbl>
              <c:idx val="10"/>
              <c:layout>
                <c:manualLayout>
                  <c:x val="-7.6583847627154714E-2"/>
                  <c:y val="5.0790903377175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DE4-4172-8D92-6A7410698BA9}"/>
                </c:ext>
              </c:extLst>
            </c:dLbl>
            <c:dLbl>
              <c:idx val="11"/>
              <c:layout>
                <c:manualLayout>
                  <c:x val="0"/>
                  <c:y val="-9.8462757803381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DE4-4172-8D92-6A7410698B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'Task 5- Monthly sales'!$A$3:$A$15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'Task 5- Monthly sales'!$B$3:$B$15</c:f>
              <c:numCache>
                <c:formatCode>General</c:formatCode>
                <c:ptCount val="12"/>
                <c:pt idx="0">
                  <c:v>260093</c:v>
                </c:pt>
                <c:pt idx="1">
                  <c:v>298340</c:v>
                </c:pt>
                <c:pt idx="2">
                  <c:v>212742</c:v>
                </c:pt>
                <c:pt idx="3">
                  <c:v>298331</c:v>
                </c:pt>
                <c:pt idx="4">
                  <c:v>440277</c:v>
                </c:pt>
                <c:pt idx="5">
                  <c:v>221049</c:v>
                </c:pt>
                <c:pt idx="6">
                  <c:v>360620</c:v>
                </c:pt>
                <c:pt idx="7">
                  <c:v>247319</c:v>
                </c:pt>
                <c:pt idx="8">
                  <c:v>302318</c:v>
                </c:pt>
                <c:pt idx="9">
                  <c:v>716465</c:v>
                </c:pt>
                <c:pt idx="10">
                  <c:v>258651</c:v>
                </c:pt>
                <c:pt idx="11">
                  <c:v>448633</c:v>
                </c:pt>
              </c:numCache>
            </c:numRef>
          </c:val>
          <c:smooth val="0"/>
          <c:extLst>
            <c:ext xmlns:c16="http://schemas.microsoft.com/office/drawing/2014/chart" uri="{C3380CC4-5D6E-409C-BE32-E72D297353CC}">
              <c16:uniqueId val="{0000000A-ADE4-4172-8D92-6A7410698BA9}"/>
            </c:ext>
          </c:extLst>
        </c:ser>
        <c:dLbls>
          <c:dLblPos val="t"/>
          <c:showLegendKey val="0"/>
          <c:showVal val="1"/>
          <c:showCatName val="0"/>
          <c:showSerName val="0"/>
          <c:showPercent val="0"/>
          <c:showBubbleSize val="0"/>
        </c:dLbls>
        <c:marker val="1"/>
        <c:smooth val="0"/>
        <c:axId val="833008480"/>
        <c:axId val="832998880"/>
      </c:lineChart>
      <c:catAx>
        <c:axId val="833008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2998880"/>
        <c:crosses val="autoZero"/>
        <c:auto val="1"/>
        <c:lblAlgn val="ctr"/>
        <c:lblOffset val="100"/>
        <c:noMultiLvlLbl val="0"/>
      </c:catAx>
      <c:valAx>
        <c:axId val="832998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300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dataset.xlsx]Task 5- Monthly sales!PivotTable3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8.1689189189189187E-2"/>
              <c:y val="-0.1701045151700481"/>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6.8175675675675743E-2"/>
              <c:y val="5.67610498243977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0195945945945946"/>
              <c:y val="-0.19398510095893715"/>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6.4797297297297302E-2"/>
              <c:y val="-8.652246490893646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4.452702702702703E-2"/>
              <c:y val="-0.19995524740615941"/>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6.1418918918918979E-2"/>
              <c:y val="-0.12831349003949227"/>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7.1554054054054059E-2"/>
              <c:y val="6.870134271884230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9.8581081081081087E-2"/>
              <c:y val="-0.1223433435922700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7.6583847627154714E-2"/>
              <c:y val="5.079090337717551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9.84627578033810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8.1689189189189187E-2"/>
              <c:y val="-0.1701045151700481"/>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6.8175675675675743E-2"/>
              <c:y val="5.67610498243977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10195945945945946"/>
              <c:y val="-0.19398510095893715"/>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6.4797297297297302E-2"/>
              <c:y val="-8.652246490893646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6.1418918918918979E-2"/>
              <c:y val="-0.12831349003949227"/>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4.452702702702703E-2"/>
              <c:y val="-0.19995524740615941"/>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7.1554054054054059E-2"/>
              <c:y val="6.870134271884230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9.8581081081081087E-2"/>
              <c:y val="-0.1223433435922700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7.6583847627154714E-2"/>
              <c:y val="5.079090337717551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
              <c:y val="-9.84627578033810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1689189189189187E-2"/>
              <c:y val="-0.17010451517004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8175675675675743E-2"/>
              <c:y val="5.6761049824397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10195945945945946"/>
              <c:y val="-0.193985100958937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4797297297297302E-2"/>
              <c:y val="-8.6522464908936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1418918918918979E-2"/>
              <c:y val="-0.128313490039492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452702702702703E-2"/>
              <c:y val="-0.19995524740615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1554054054054059E-2"/>
              <c:y val="6.8701342718842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9.8581081081081087E-2"/>
              <c:y val="-0.122343343592270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6583847627154714E-2"/>
              <c:y val="5.07909033771755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
              <c:y val="-9.8462757803381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86869546712066"/>
          <c:y val="0.23865683927284556"/>
          <c:w val="0.82023941264098743"/>
          <c:h val="0.45964909641598478"/>
        </c:manualLayout>
      </c:layout>
      <c:lineChart>
        <c:grouping val="standard"/>
        <c:varyColors val="0"/>
        <c:ser>
          <c:idx val="0"/>
          <c:order val="0"/>
          <c:tx>
            <c:strRef>
              <c:f>'Task 5- Monthly sales'!$B$2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0-B6CF-4389-9ADF-229CFBFEB487}"/>
              </c:ext>
            </c:extLst>
          </c:dPt>
          <c:dPt>
            <c:idx val="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1-B6CF-4389-9ADF-229CFBFEB487}"/>
              </c:ext>
            </c:extLst>
          </c:dPt>
          <c:dPt>
            <c:idx val="3"/>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2-B6CF-4389-9ADF-229CFBFEB487}"/>
              </c:ext>
            </c:extLst>
          </c:dPt>
          <c:dPt>
            <c:idx val="4"/>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3-B6CF-4389-9ADF-229CFBFEB487}"/>
              </c:ext>
            </c:extLst>
          </c:dPt>
          <c:dPt>
            <c:idx val="5"/>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4-B6CF-4389-9ADF-229CFBFEB487}"/>
              </c:ext>
            </c:extLst>
          </c:dPt>
          <c:dPt>
            <c:idx val="6"/>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5-B6CF-4389-9ADF-229CFBFEB487}"/>
              </c:ext>
            </c:extLst>
          </c:dPt>
          <c:dPt>
            <c:idx val="7"/>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6-B6CF-4389-9ADF-229CFBFEB487}"/>
              </c:ext>
            </c:extLst>
          </c:dPt>
          <c:dPt>
            <c:idx val="8"/>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7-B6CF-4389-9ADF-229CFBFEB487}"/>
              </c:ext>
            </c:extLst>
          </c:dPt>
          <c:dPt>
            <c:idx val="1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8-B6CF-4389-9ADF-229CFBFEB487}"/>
              </c:ext>
            </c:extLst>
          </c:dPt>
          <c:dPt>
            <c:idx val="1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9-B6CF-4389-9ADF-229CFBFEB487}"/>
              </c:ext>
            </c:extLst>
          </c:dPt>
          <c:dLbls>
            <c:dLbl>
              <c:idx val="1"/>
              <c:layout>
                <c:manualLayout>
                  <c:x val="-8.1689189189189187E-2"/>
                  <c:y val="-0.170104515170048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CF-4389-9ADF-229CFBFEB487}"/>
                </c:ext>
              </c:extLst>
            </c:dLbl>
            <c:dLbl>
              <c:idx val="2"/>
              <c:layout>
                <c:manualLayout>
                  <c:x val="-6.8175675675675743E-2"/>
                  <c:y val="5.6761049824397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CF-4389-9ADF-229CFBFEB487}"/>
                </c:ext>
              </c:extLst>
            </c:dLbl>
            <c:dLbl>
              <c:idx val="3"/>
              <c:layout>
                <c:manualLayout>
                  <c:x val="-0.10195945945945946"/>
                  <c:y val="-0.193985100958937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CF-4389-9ADF-229CFBFEB487}"/>
                </c:ext>
              </c:extLst>
            </c:dLbl>
            <c:dLbl>
              <c:idx val="4"/>
              <c:layout>
                <c:manualLayout>
                  <c:x val="-6.4797297297297302E-2"/>
                  <c:y val="-8.65224649089364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CF-4389-9ADF-229CFBFEB487}"/>
                </c:ext>
              </c:extLst>
            </c:dLbl>
            <c:dLbl>
              <c:idx val="5"/>
              <c:layout>
                <c:manualLayout>
                  <c:x val="-6.1418918918918979E-2"/>
                  <c:y val="-0.1283134900394922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6CF-4389-9ADF-229CFBFEB487}"/>
                </c:ext>
              </c:extLst>
            </c:dLbl>
            <c:dLbl>
              <c:idx val="6"/>
              <c:layout>
                <c:manualLayout>
                  <c:x val="-4.452702702702703E-2"/>
                  <c:y val="-0.1999552474061594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CF-4389-9ADF-229CFBFEB487}"/>
                </c:ext>
              </c:extLst>
            </c:dLbl>
            <c:dLbl>
              <c:idx val="7"/>
              <c:layout>
                <c:manualLayout>
                  <c:x val="-7.1554054054054059E-2"/>
                  <c:y val="6.87013427188423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6CF-4389-9ADF-229CFBFEB487}"/>
                </c:ext>
              </c:extLst>
            </c:dLbl>
            <c:dLbl>
              <c:idx val="8"/>
              <c:layout>
                <c:manualLayout>
                  <c:x val="-9.8581081081081087E-2"/>
                  <c:y val="-0.1223433435922700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6CF-4389-9ADF-229CFBFEB487}"/>
                </c:ext>
              </c:extLst>
            </c:dLbl>
            <c:dLbl>
              <c:idx val="10"/>
              <c:layout>
                <c:manualLayout>
                  <c:x val="-7.6583847627154714E-2"/>
                  <c:y val="5.0790903377175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6CF-4389-9ADF-229CFBFEB487}"/>
                </c:ext>
              </c:extLst>
            </c:dLbl>
            <c:dLbl>
              <c:idx val="11"/>
              <c:layout>
                <c:manualLayout>
                  <c:x val="0"/>
                  <c:y val="-9.8462757803381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6CF-4389-9ADF-229CFBFEB4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'Task 5- Monthly sales'!$A$3:$A$15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'Task 5- Monthly sales'!$B$3:$B$15</c:f>
              <c:numCache>
                <c:formatCode>General</c:formatCode>
                <c:ptCount val="12"/>
                <c:pt idx="0">
                  <c:v>260093</c:v>
                </c:pt>
                <c:pt idx="1">
                  <c:v>298340</c:v>
                </c:pt>
                <c:pt idx="2">
                  <c:v>212742</c:v>
                </c:pt>
                <c:pt idx="3">
                  <c:v>298331</c:v>
                </c:pt>
                <c:pt idx="4">
                  <c:v>440277</c:v>
                </c:pt>
                <c:pt idx="5">
                  <c:v>221049</c:v>
                </c:pt>
                <c:pt idx="6">
                  <c:v>360620</c:v>
                </c:pt>
                <c:pt idx="7">
                  <c:v>247319</c:v>
                </c:pt>
                <c:pt idx="8">
                  <c:v>302318</c:v>
                </c:pt>
                <c:pt idx="9">
                  <c:v>716465</c:v>
                </c:pt>
                <c:pt idx="10">
                  <c:v>258651</c:v>
                </c:pt>
                <c:pt idx="11">
                  <c:v>448633</c:v>
                </c:pt>
              </c:numCache>
            </c:numRef>
          </c:val>
          <c:smooth val="0"/>
          <c:extLst>
            <c:ext xmlns:c16="http://schemas.microsoft.com/office/drawing/2014/chart" uri="{C3380CC4-5D6E-409C-BE32-E72D297353CC}">
              <c16:uniqueId val="{0000000A-B6CF-4389-9ADF-229CFBFEB487}"/>
            </c:ext>
          </c:extLst>
        </c:ser>
        <c:dLbls>
          <c:dLblPos val="t"/>
          <c:showLegendKey val="0"/>
          <c:showVal val="1"/>
          <c:showCatName val="0"/>
          <c:showSerName val="0"/>
          <c:showPercent val="0"/>
          <c:showBubbleSize val="0"/>
        </c:dLbls>
        <c:marker val="1"/>
        <c:smooth val="0"/>
        <c:axId val="833008480"/>
        <c:axId val="832998880"/>
      </c:lineChart>
      <c:catAx>
        <c:axId val="833008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2998880"/>
        <c:crosses val="autoZero"/>
        <c:auto val="1"/>
        <c:lblAlgn val="ctr"/>
        <c:lblOffset val="100"/>
        <c:noMultiLvlLbl val="0"/>
      </c:catAx>
      <c:valAx>
        <c:axId val="832998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300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dataset.xlsx]Task 5- Profit by category!PivotTable2</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Profit % by 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5- Profit by category'!$B$2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'Task 5- Profit by category'!$A$3:$A$6</c:f>
              <c:strCache>
                <c:ptCount val="3"/>
                <c:pt idx="0">
                  <c:v>Furniture</c:v>
                </c:pt>
                <c:pt idx="1">
                  <c:v>Office Supplies</c:v>
                </c:pt>
                <c:pt idx="2">
                  <c:v>Technology</c:v>
                </c:pt>
              </c:strCache>
            </c:strRef>
          </c:cat>
          <c:val>
            <c:numRef>
              <c:f>'Task 5- Profit by category'!$B$3:$B$6</c:f>
              <c:numCache>
                <c:formatCode>0%</c:formatCode>
                <c:ptCount val="3"/>
                <c:pt idx="0">
                  <c:v>0.30846336037484778</c:v>
                </c:pt>
                <c:pt idx="1">
                  <c:v>0.36517604385554797</c:v>
                </c:pt>
                <c:pt idx="2">
                  <c:v>0.32636059576960424</c:v>
                </c:pt>
              </c:numCache>
            </c:numRef>
          </c:val>
          <c:extLst>
            <c:ext xmlns:c16="http://schemas.microsoft.com/office/drawing/2014/chart" uri="{C3380CC4-5D6E-409C-BE32-E72D297353CC}">
              <c16:uniqueId val="{00000000-4DAF-4F5F-85B0-3B31A2022194}"/>
            </c:ext>
          </c:extLst>
        </c:ser>
        <c:dLbls>
          <c:dLblPos val="outEnd"/>
          <c:showLegendKey val="0"/>
          <c:showVal val="1"/>
          <c:showCatName val="0"/>
          <c:showSerName val="0"/>
          <c:showPercent val="0"/>
          <c:showBubbleSize val="0"/>
        </c:dLbls>
        <c:gapWidth val="182"/>
        <c:overlap val="-50"/>
        <c:axId val="833003680"/>
        <c:axId val="833004160"/>
      </c:barChart>
      <c:catAx>
        <c:axId val="833003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3004160"/>
        <c:crosses val="autoZero"/>
        <c:auto val="1"/>
        <c:lblAlgn val="ctr"/>
        <c:lblOffset val="100"/>
        <c:noMultiLvlLbl val="0"/>
      </c:catAx>
      <c:valAx>
        <c:axId val="83300416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300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dataset.xlsx]Task 5- Region wise sales!PivotTable1</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Sales by region</a:t>
            </a:r>
          </a:p>
        </c:rich>
      </c:tx>
      <c:layout>
        <c:manualLayout>
          <c:xMode val="edge"/>
          <c:yMode val="edge"/>
          <c:x val="0.27175603566083167"/>
          <c:y val="2.298850574712643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36363636363634"/>
                  <c:h val="0.15302681992337164"/>
                </c:manualLayout>
              </c15:layout>
            </c:ext>
          </c:extLst>
        </c:dLbl>
      </c:pivotFmt>
    </c:pivotFmts>
    <c:plotArea>
      <c:layout/>
      <c:barChart>
        <c:barDir val="col"/>
        <c:grouping val="clustered"/>
        <c:varyColors val="0"/>
        <c:ser>
          <c:idx val="0"/>
          <c:order val="0"/>
          <c:tx>
            <c:strRef>
              <c:f>'Task 5- Region wise sales'!$B$2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D792-43B1-BE3D-FE1F96A086EE}"/>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36363636363634"/>
                      <c:h val="0.15302681992337164"/>
                    </c:manualLayout>
                  </c15:layout>
                </c:ext>
                <c:ext xmlns:c16="http://schemas.microsoft.com/office/drawing/2014/chart" uri="{C3380CC4-5D6E-409C-BE32-E72D297353CC}">
                  <c16:uniqueId val="{00000001-D792-43B1-BE3D-FE1F96A086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'Task 5- Region wise sales'!$A$3:$A$7</c:f>
              <c:strCache>
                <c:ptCount val="4"/>
                <c:pt idx="0">
                  <c:v>East</c:v>
                </c:pt>
                <c:pt idx="1">
                  <c:v>North</c:v>
                </c:pt>
                <c:pt idx="2">
                  <c:v>South</c:v>
                </c:pt>
                <c:pt idx="3">
                  <c:v>West</c:v>
                </c:pt>
              </c:strCache>
            </c:strRef>
          </c:cat>
          <c:val>
            <c:numRef>
              <c:f>'Task 5- Region wise sales'!$B$3:$B$7</c:f>
              <c:numCache>
                <c:formatCode>"₹"\ #,##0</c:formatCode>
                <c:ptCount val="4"/>
                <c:pt idx="0">
                  <c:v>1374664</c:v>
                </c:pt>
                <c:pt idx="1">
                  <c:v>994379</c:v>
                </c:pt>
                <c:pt idx="2">
                  <c:v>865517</c:v>
                </c:pt>
                <c:pt idx="3">
                  <c:v>830278</c:v>
                </c:pt>
              </c:numCache>
            </c:numRef>
          </c:val>
          <c:extLst>
            <c:ext xmlns:c16="http://schemas.microsoft.com/office/drawing/2014/chart" uri="{C3380CC4-5D6E-409C-BE32-E72D297353CC}">
              <c16:uniqueId val="{00000000-D792-43B1-BE3D-FE1F96A086EE}"/>
            </c:ext>
          </c:extLst>
        </c:ser>
        <c:dLbls>
          <c:dLblPos val="outEnd"/>
          <c:showLegendKey val="0"/>
          <c:showVal val="1"/>
          <c:showCatName val="0"/>
          <c:showSerName val="0"/>
          <c:showPercent val="0"/>
          <c:showBubbleSize val="0"/>
        </c:dLbls>
        <c:gapWidth val="315"/>
        <c:overlap val="-40"/>
        <c:axId val="483027216"/>
        <c:axId val="483028176"/>
      </c:barChart>
      <c:catAx>
        <c:axId val="483027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3028176"/>
        <c:crosses val="autoZero"/>
        <c:auto val="1"/>
        <c:lblAlgn val="ctr"/>
        <c:lblOffset val="100"/>
        <c:noMultiLvlLbl val="0"/>
      </c:catAx>
      <c:valAx>
        <c:axId val="483028176"/>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302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584200</xdr:colOff>
      <xdr:row>2</xdr:row>
      <xdr:rowOff>12700</xdr:rowOff>
    </xdr:from>
    <xdr:to>
      <xdr:col>12</xdr:col>
      <xdr:colOff>0</xdr:colOff>
      <xdr:row>11</xdr:row>
      <xdr:rowOff>31751</xdr:rowOff>
    </xdr:to>
    <xdr:graphicFrame macro="">
      <xdr:nvGraphicFramePr>
        <xdr:cNvPr id="3" name="Chart 2">
          <a:extLst>
            <a:ext uri="{FF2B5EF4-FFF2-40B4-BE49-F238E27FC236}">
              <a16:creationId xmlns:a16="http://schemas.microsoft.com/office/drawing/2014/main" id="{E2B0BBCE-CCEC-495B-86A3-205009B8C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488950</xdr:colOff>
      <xdr:row>8</xdr:row>
      <xdr:rowOff>44450</xdr:rowOff>
    </xdr:from>
    <xdr:to>
      <xdr:col>9</xdr:col>
      <xdr:colOff>158750</xdr:colOff>
      <xdr:row>17</xdr:row>
      <xdr:rowOff>104774</xdr:rowOff>
    </xdr:to>
    <xdr:graphicFrame macro="">
      <xdr:nvGraphicFramePr>
        <xdr:cNvPr id="3" name="Chart 2">
          <a:extLst>
            <a:ext uri="{FF2B5EF4-FFF2-40B4-BE49-F238E27FC236}">
              <a16:creationId xmlns:a16="http://schemas.microsoft.com/office/drawing/2014/main" id="{C625EC4C-3860-489E-8B19-B2E07D221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438150</xdr:colOff>
      <xdr:row>3</xdr:row>
      <xdr:rowOff>6350</xdr:rowOff>
    </xdr:from>
    <xdr:to>
      <xdr:col>11</xdr:col>
      <xdr:colOff>120650</xdr:colOff>
      <xdr:row>12</xdr:row>
      <xdr:rowOff>50801</xdr:rowOff>
    </xdr:to>
    <xdr:graphicFrame macro="">
      <xdr:nvGraphicFramePr>
        <xdr:cNvPr id="3" name="Chart 2">
          <a:extLst>
            <a:ext uri="{FF2B5EF4-FFF2-40B4-BE49-F238E27FC236}">
              <a16:creationId xmlns:a16="http://schemas.microsoft.com/office/drawing/2014/main" id="{C44C8ADD-719D-4E34-8001-C40F981DA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571500</xdr:colOff>
      <xdr:row>7</xdr:row>
      <xdr:rowOff>82550</xdr:rowOff>
    </xdr:from>
    <xdr:to>
      <xdr:col>9</xdr:col>
      <xdr:colOff>285750</xdr:colOff>
      <xdr:row>16</xdr:row>
      <xdr:rowOff>127001</xdr:rowOff>
    </xdr:to>
    <xdr:graphicFrame macro="">
      <xdr:nvGraphicFramePr>
        <xdr:cNvPr id="3" name="Chart 2">
          <a:extLst>
            <a:ext uri="{FF2B5EF4-FFF2-40B4-BE49-F238E27FC236}">
              <a16:creationId xmlns:a16="http://schemas.microsoft.com/office/drawing/2014/main" id="{7932E037-B1AA-48CF-80F7-6BE911680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7</xdr:row>
      <xdr:rowOff>88900</xdr:rowOff>
    </xdr:from>
    <xdr:to>
      <xdr:col>3</xdr:col>
      <xdr:colOff>469900</xdr:colOff>
      <xdr:row>16</xdr:row>
      <xdr:rowOff>130174</xdr:rowOff>
    </xdr:to>
    <xdr:graphicFrame macro="">
      <xdr:nvGraphicFramePr>
        <xdr:cNvPr id="4" name="Chart 3">
          <a:extLst>
            <a:ext uri="{FF2B5EF4-FFF2-40B4-BE49-F238E27FC236}">
              <a16:creationId xmlns:a16="http://schemas.microsoft.com/office/drawing/2014/main" id="{B7021AD4-8F1F-412A-983D-381E8CCCF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374650</xdr:colOff>
      <xdr:row>7</xdr:row>
      <xdr:rowOff>95250</xdr:rowOff>
    </xdr:from>
    <xdr:to>
      <xdr:col>14</xdr:col>
      <xdr:colOff>400050</xdr:colOff>
      <xdr:row>16</xdr:row>
      <xdr:rowOff>114301</xdr:rowOff>
    </xdr:to>
    <xdr:graphicFrame macro="">
      <xdr:nvGraphicFramePr>
        <xdr:cNvPr id="5" name="Chart 4">
          <a:extLst>
            <a:ext uri="{FF2B5EF4-FFF2-40B4-BE49-F238E27FC236}">
              <a16:creationId xmlns:a16="http://schemas.microsoft.com/office/drawing/2014/main" id="{BD59AC24-D342-4020-8F20-13782B227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514350</xdr:colOff>
      <xdr:row>2</xdr:row>
      <xdr:rowOff>57150</xdr:rowOff>
    </xdr:from>
    <xdr:to>
      <xdr:col>14</xdr:col>
      <xdr:colOff>368300</xdr:colOff>
      <xdr:row>7</xdr:row>
      <xdr:rowOff>19050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3869E191-BFD1-4ED7-9906-C97B39CB43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19950" y="425450"/>
              <a:ext cx="1682750" cy="882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241300</xdr:colOff>
      <xdr:row>2</xdr:row>
      <xdr:rowOff>63500</xdr:rowOff>
    </xdr:from>
    <xdr:to>
      <xdr:col>11</xdr:col>
      <xdr:colOff>412750</xdr:colOff>
      <xdr:row>6</xdr:row>
      <xdr:rowOff>171450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8B4DD2B9-3F2B-42DC-85C9-FA922E5458A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08500" y="431800"/>
              <a:ext cx="2609850" cy="844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139700</xdr:colOff>
      <xdr:row>2</xdr:row>
      <xdr:rowOff>177800</xdr:rowOff>
    </xdr:from>
    <xdr:to>
      <xdr:col>2</xdr:col>
      <xdr:colOff>57150</xdr:colOff>
      <xdr:row>6</xdr:row>
      <xdr:rowOff>0</xdr:rowOff>
    </xdr:to>
    <xdr:sp macro="" textlink="'Task 6- KPI'!A3">
      <xdr:nvSpPr>
        <xdr:cNvPr id="2" name="Rectangle 1">
          <a:extLst>
            <a:ext uri="{FF2B5EF4-FFF2-40B4-BE49-F238E27FC236}">
              <a16:creationId xmlns:a16="http://schemas.microsoft.com/office/drawing/2014/main" id="{134F264B-C6D2-52C6-A22F-4705ED5119E5}"/>
            </a:ext>
          </a:extLst>
        </xdr:cNvPr>
        <xdr:cNvSpPr/>
      </xdr:nvSpPr>
      <xdr:spPr>
        <a:xfrm>
          <a:off x="139700" y="546100"/>
          <a:ext cx="1136650" cy="558800"/>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400" b="1" i="0" u="none" strike="noStrike">
              <a:solidFill>
                <a:srgbClr val="000000"/>
              </a:solidFill>
              <a:latin typeface="Calibri"/>
              <a:ea typeface="Calibri"/>
              <a:cs typeface="Calibri"/>
            </a:rPr>
            <a:t>Total</a:t>
          </a:r>
          <a:r>
            <a:rPr lang="en-US" sz="1400" b="1" i="0" u="none" strike="noStrike" baseline="0">
              <a:solidFill>
                <a:srgbClr val="000000"/>
              </a:solidFill>
              <a:latin typeface="Calibri"/>
              <a:ea typeface="Calibri"/>
              <a:cs typeface="Calibri"/>
            </a:rPr>
            <a:t> Sales</a:t>
          </a:r>
          <a:endParaRPr lang="en-US" sz="1100" b="1" i="0" u="none" strike="noStrike" baseline="0">
            <a:solidFill>
              <a:srgbClr val="000000"/>
            </a:solidFill>
            <a:latin typeface="Calibri"/>
            <a:ea typeface="Calibri"/>
            <a:cs typeface="Calibri"/>
          </a:endParaRPr>
        </a:p>
        <a:p>
          <a:pPr algn="ctr"/>
          <a:fld id="{9DAEFC96-E2A6-48C3-9AAC-86E3D2AB540B}" type="TxLink">
            <a:rPr lang="en-US" sz="1100" b="0" i="0" u="none" strike="noStrike">
              <a:solidFill>
                <a:srgbClr val="000000"/>
              </a:solidFill>
              <a:latin typeface="Calibri"/>
              <a:ea typeface="Calibri"/>
              <a:cs typeface="Calibri"/>
            </a:rPr>
            <a:t>₹ 40,64,838</a:t>
          </a:fld>
          <a:endParaRPr lang="en-US"/>
        </a:p>
      </xdr:txBody>
    </xdr:sp>
    <xdr:clientData/>
  </xdr:twoCellAnchor>
  <xdr:twoCellAnchor>
    <xdr:from>
      <xdr:col>2</xdr:col>
      <xdr:colOff>190500</xdr:colOff>
      <xdr:row>2</xdr:row>
      <xdr:rowOff>177800</xdr:rowOff>
    </xdr:from>
    <xdr:to>
      <xdr:col>4</xdr:col>
      <xdr:colOff>215900</xdr:colOff>
      <xdr:row>6</xdr:row>
      <xdr:rowOff>12700</xdr:rowOff>
    </xdr:to>
    <xdr:sp macro="" textlink="'Task 6- KPI'!B3">
      <xdr:nvSpPr>
        <xdr:cNvPr id="10" name="Rectangle 9">
          <a:extLst>
            <a:ext uri="{FF2B5EF4-FFF2-40B4-BE49-F238E27FC236}">
              <a16:creationId xmlns:a16="http://schemas.microsoft.com/office/drawing/2014/main" id="{1C3C2AA4-C623-4B36-BA64-C73A1CA89C61}"/>
            </a:ext>
          </a:extLst>
        </xdr:cNvPr>
        <xdr:cNvSpPr/>
      </xdr:nvSpPr>
      <xdr:spPr>
        <a:xfrm>
          <a:off x="1409700" y="546100"/>
          <a:ext cx="1244600" cy="571500"/>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400" b="1" i="0" u="none" strike="noStrike">
              <a:solidFill>
                <a:srgbClr val="000000"/>
              </a:solidFill>
              <a:latin typeface="Calibri"/>
              <a:ea typeface="Calibri"/>
              <a:cs typeface="Calibri"/>
            </a:rPr>
            <a:t>Total Profit</a:t>
          </a:r>
          <a:endParaRPr lang="en-US" sz="1100" b="1" i="0" u="none" strike="noStrike">
            <a:solidFill>
              <a:srgbClr val="000000"/>
            </a:solidFill>
            <a:latin typeface="Calibri"/>
            <a:ea typeface="Calibri"/>
            <a:cs typeface="Calibri"/>
          </a:endParaRPr>
        </a:p>
        <a:p>
          <a:pPr algn="ctr"/>
          <a:fld id="{64E4E76D-6D12-418D-AFD3-464F36D57D2B}" type="TxLink">
            <a:rPr lang="en-US" sz="1100" b="0" i="0" u="none" strike="noStrike">
              <a:solidFill>
                <a:srgbClr val="000000"/>
              </a:solidFill>
              <a:latin typeface="Calibri"/>
              <a:ea typeface="Calibri"/>
              <a:cs typeface="Calibri"/>
            </a:rPr>
            <a:t>₹ 7,78,556</a:t>
          </a:fld>
          <a:endParaRPr lang="en-IN" sz="1100"/>
        </a:p>
      </xdr:txBody>
    </xdr:sp>
    <xdr:clientData/>
  </xdr:twoCellAnchor>
  <xdr:twoCellAnchor>
    <xdr:from>
      <xdr:col>4</xdr:col>
      <xdr:colOff>457200</xdr:colOff>
      <xdr:row>2</xdr:row>
      <xdr:rowOff>171450</xdr:rowOff>
    </xdr:from>
    <xdr:to>
      <xdr:col>7</xdr:col>
      <xdr:colOff>88900</xdr:colOff>
      <xdr:row>6</xdr:row>
      <xdr:rowOff>6350</xdr:rowOff>
    </xdr:to>
    <xdr:sp macro="" textlink="'Task 6- KPI'!C3">
      <xdr:nvSpPr>
        <xdr:cNvPr id="11" name="Rectangle 10">
          <a:extLst>
            <a:ext uri="{FF2B5EF4-FFF2-40B4-BE49-F238E27FC236}">
              <a16:creationId xmlns:a16="http://schemas.microsoft.com/office/drawing/2014/main" id="{19CF7C25-0985-40B9-B21A-1CEFDE1F4899}"/>
            </a:ext>
          </a:extLst>
        </xdr:cNvPr>
        <xdr:cNvSpPr/>
      </xdr:nvSpPr>
      <xdr:spPr>
        <a:xfrm>
          <a:off x="2895600" y="539750"/>
          <a:ext cx="1460500" cy="571500"/>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400" b="1" i="0" u="none" strike="noStrike">
              <a:solidFill>
                <a:srgbClr val="000000"/>
              </a:solidFill>
              <a:latin typeface="Calibri"/>
              <a:ea typeface="Calibri"/>
              <a:cs typeface="Calibri"/>
            </a:rPr>
            <a:t>Average Sales</a:t>
          </a:r>
          <a:endParaRPr lang="en-US" sz="1100" b="1" i="0" u="none" strike="noStrike">
            <a:solidFill>
              <a:srgbClr val="000000"/>
            </a:solidFill>
            <a:latin typeface="Calibri"/>
            <a:ea typeface="Calibri"/>
            <a:cs typeface="Calibri"/>
          </a:endParaRPr>
        </a:p>
        <a:p>
          <a:pPr algn="ctr"/>
          <a:fld id="{51D6D0E5-A55F-45FD-A792-F944FFA41BC0}" type="TxLink">
            <a:rPr lang="en-US" sz="1100" b="0" i="0" u="none" strike="noStrike">
              <a:solidFill>
                <a:srgbClr val="000000"/>
              </a:solidFill>
              <a:latin typeface="Calibri"/>
              <a:ea typeface="Calibri"/>
              <a:cs typeface="Calibri"/>
            </a:rPr>
            <a:t>₹ 51,454</a:t>
          </a:fld>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ishan" refreshedDate="46033.934784490739" createdVersion="8" refreshedVersion="8" minRefreshableVersion="3" recordCount="81" xr:uid="{D0F0E0AB-7886-40E3-BAFC-AE937FCE4B24}">
  <cacheSource type="worksheet">
    <worksheetSource ref="A1:L1048576" sheet="Sales_Data"/>
  </cacheSource>
  <cacheFields count="12">
    <cacheField name="Order Date" numFmtId="0">
      <sharedItems containsNonDate="0" containsDate="1" containsString="0" containsBlank="1" minDate="2020-09-10T00:00:00" maxDate="2024-08-10T00:00:00"/>
    </cacheField>
    <cacheField name="Region" numFmtId="0">
      <sharedItems containsBlank="1" count="5">
        <s v="North"/>
        <s v="East"/>
        <s v="South"/>
        <s v="West"/>
        <m/>
      </sharedItems>
    </cacheField>
    <cacheField name="Category" numFmtId="0">
      <sharedItems containsBlank="1" count="4">
        <s v="Technology"/>
        <s v="Furniture"/>
        <s v="Office Supplies"/>
        <m/>
      </sharedItems>
    </cacheField>
    <cacheField name="Product ID" numFmtId="0">
      <sharedItems containsBlank="1"/>
    </cacheField>
    <cacheField name="Product Name" numFmtId="0">
      <sharedItems containsBlank="1"/>
    </cacheField>
    <cacheField name="Customer Email" numFmtId="0">
      <sharedItems containsBlank="1"/>
    </cacheField>
    <cacheField name="Sales" numFmtId="0">
      <sharedItems containsBlank="1" containsMixedTypes="1" containsNumber="1" containsInteger="1" minValue="7042" maxValue="93596" count="81">
        <n v="41519"/>
        <n v="74551"/>
        <n v="39707"/>
        <n v="41740"/>
        <n v="25679"/>
        <n v="93596"/>
        <n v="73436"/>
        <n v="57615"/>
        <n v="20610"/>
        <n v="30927"/>
        <n v="32186"/>
        <n v="83382"/>
        <n v="41358"/>
        <n v="54807"/>
        <n v="55732"/>
        <n v="49565"/>
        <n v="39905"/>
        <n v="55157"/>
        <n v="37073"/>
        <n v="45477"/>
        <n v="66233"/>
        <n v="28743"/>
        <n v="70083"/>
        <n v="64850"/>
        <n v="13298"/>
        <n v="34510"/>
        <n v="81351"/>
        <n v="27968"/>
        <n v="72128"/>
        <n v="91106"/>
        <n v="63964"/>
        <n v="32570"/>
        <n v="68439"/>
        <n v="58635"/>
        <n v="43774"/>
        <n v="26586"/>
        <n v="25493"/>
        <n v="23912"/>
        <n v="91891"/>
        <n v="90365"/>
        <n v="7042"/>
        <n v="60130"/>
        <n v="90179"/>
        <n v="25588"/>
        <n v="57221"/>
        <n v="8658"/>
        <n v="40583"/>
        <n v="54644"/>
        <n v="21130"/>
        <n v="54009"/>
        <n v="51167"/>
        <n v="74015"/>
        <n v="27543"/>
        <n v="56793"/>
        <n v="32933"/>
        <n v="69344"/>
        <n v="13675"/>
        <n v="68624"/>
        <n v="41820"/>
        <n v="73962"/>
        <n v="63915"/>
        <n v="43018"/>
        <n v="43881"/>
        <n v="75578"/>
        <n v="56446"/>
        <n v="43053"/>
        <n v="17496"/>
        <n v="73727"/>
        <n v="68160"/>
        <n v="41501"/>
        <n v="52767"/>
        <n v="88641"/>
        <n v="91150"/>
        <n v="89731"/>
        <n v="11760"/>
        <n v="33976"/>
        <n v="88986"/>
        <n v="47186"/>
        <n v="34885"/>
        <s v="-"/>
        <m/>
      </sharedItems>
    </cacheField>
    <cacheField name="Profit" numFmtId="0">
      <sharedItems containsString="0" containsBlank="1" containsNumber="1" containsInteger="1" minValue="1537" maxValue="17986"/>
    </cacheField>
    <cacheField name="Sales Category" numFmtId="0">
      <sharedItems containsBlank="1"/>
    </cacheField>
    <cacheField name="Performance Status" numFmtId="0">
      <sharedItems containsBlank="1"/>
    </cacheField>
    <cacheField name="Year" numFmtId="0">
      <sharedItems containsString="0" containsBlank="1" containsNumber="1" containsInteger="1" minValue="2020" maxValue="2024"/>
    </cacheField>
    <cacheField name="Month" numFmtId="0">
      <sharedItems containsBlank="1" count="13">
        <s v="March"/>
        <s v="June"/>
        <s v="September"/>
        <s v="May"/>
        <s v="February"/>
        <s v="October"/>
        <s v="April"/>
        <s v="January"/>
        <s v="December"/>
        <s v="August"/>
        <s v="July"/>
        <s v="November"/>
        <m/>
      </sharedItems>
    </cacheField>
  </cacheFields>
  <extLst>
    <ext xmlns:x14="http://schemas.microsoft.com/office/spreadsheetml/2009/9/main" uri="{725AE2AE-9491-48be-B2B4-4EB974FC3084}">
      <x14:pivotCacheDefinition pivotCacheId="15755737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
  <r>
    <d v="2023-03-13T00:00:00"/>
    <x v="0"/>
    <x v="0"/>
    <s v="P1006"/>
    <s v=" keyboard"/>
    <s v="sneha.singh60@yahoo.com"/>
    <x v="0"/>
    <n v="1598"/>
    <s v="Low Sales"/>
    <s v="Needs Improvement"/>
    <n v="2023"/>
    <x v="0"/>
  </r>
  <r>
    <d v="2023-06-22T00:00:00"/>
    <x v="1"/>
    <x v="1"/>
    <s v="P1006"/>
    <s v="keyboard"/>
    <s v="vikram.roy61@outlook.com"/>
    <x v="1"/>
    <n v="2929"/>
    <s v="High Sales"/>
    <s v="Needs Improvement"/>
    <n v="2023"/>
    <x v="1"/>
  </r>
  <r>
    <d v="2023-03-06T00:00:00"/>
    <x v="2"/>
    <x v="0"/>
    <s v="P1002"/>
    <s v="wireless mouse"/>
    <s v="anita.das48@yahoo.com"/>
    <x v="2"/>
    <n v="10251"/>
    <s v="Low Sales"/>
    <s v="Good Performance"/>
    <n v="2023"/>
    <x v="0"/>
  </r>
  <r>
    <d v="2023-09-18T00:00:00"/>
    <x v="1"/>
    <x v="0"/>
    <s v="P1005"/>
    <s v="printer"/>
    <s v="anita.mehta51@companymail.com"/>
    <x v="3"/>
    <n v="5926"/>
    <s v="Low Sales"/>
    <s v="Good Performance"/>
    <n v="2023"/>
    <x v="2"/>
  </r>
  <r>
    <d v="2023-05-20T00:00:00"/>
    <x v="0"/>
    <x v="0"/>
    <s v="P1007"/>
    <s v="monitor"/>
    <s v="arjun.mehta26@outlook.com"/>
    <x v="4"/>
    <n v="16897"/>
    <s v="Low Sales"/>
    <s v="Needs Improvement"/>
    <n v="2023"/>
    <x v="3"/>
  </r>
  <r>
    <d v="2023-02-21T00:00:00"/>
    <x v="1"/>
    <x v="0"/>
    <s v="P1002"/>
    <s v="wireless mouse"/>
    <s v="amit.roy18@companymail.com"/>
    <x v="5"/>
    <n v="16635"/>
    <s v="High Sales"/>
    <s v="Good Performance"/>
    <n v="2023"/>
    <x v="4"/>
  </r>
  <r>
    <d v="2023-10-12T00:00:00"/>
    <x v="0"/>
    <x v="0"/>
    <s v="P1006"/>
    <s v="keyboard"/>
    <s v="sneha.das6@outlook.com"/>
    <x v="6"/>
    <n v="11543"/>
    <s v="High Sales"/>
    <s v="Good Performance"/>
    <n v="2023"/>
    <x v="5"/>
  </r>
  <r>
    <d v="2023-10-31T00:00:00"/>
    <x v="1"/>
    <x v="2"/>
    <s v="P1005"/>
    <s v="printer"/>
    <s v="amit.mehta19@gmail.com"/>
    <x v="7"/>
    <n v="10638"/>
    <s v="High Sales"/>
    <s v="Good Performance"/>
    <n v="2023"/>
    <x v="5"/>
  </r>
  <r>
    <d v="2022-04-24T00:00:00"/>
    <x v="0"/>
    <x v="0"/>
    <s v="P1002"/>
    <s v="wireless mouse"/>
    <s v="kavya.sharma2@outlook.com"/>
    <x v="8"/>
    <n v="11441"/>
    <s v="Low Sales"/>
    <s v="Needs Improvement"/>
    <n v="2022"/>
    <x v="6"/>
  </r>
  <r>
    <d v="2023-01-28T00:00:00"/>
    <x v="0"/>
    <x v="0"/>
    <s v="P1003"/>
    <s v="  office chair"/>
    <s v="rahul.nair45@yahoo.com"/>
    <x v="9"/>
    <n v="7697"/>
    <s v="Low Sales"/>
    <s v="Good Performance"/>
    <n v="2023"/>
    <x v="7"/>
  </r>
  <r>
    <d v="2023-04-23T00:00:00"/>
    <x v="1"/>
    <x v="2"/>
    <s v="P1006"/>
    <s v=" keyboard"/>
    <s v="kavya.roy72@gmail.com"/>
    <x v="10"/>
    <n v="9561"/>
    <s v="Low Sales"/>
    <s v="Good Performance"/>
    <n v="2023"/>
    <x v="6"/>
  </r>
  <r>
    <d v="2023-05-17T00:00:00"/>
    <x v="3"/>
    <x v="1"/>
    <s v="P1005"/>
    <s v="printer"/>
    <s v="arjun.nair73@gmail.com"/>
    <x v="11"/>
    <n v="9790"/>
    <s v="High Sales"/>
    <s v="Good Performance"/>
    <n v="2023"/>
    <x v="3"/>
  </r>
  <r>
    <d v="2023-06-29T00:00:00"/>
    <x v="3"/>
    <x v="1"/>
    <s v="P1001"/>
    <s v="laptop stand"/>
    <s v="anita.mehta53@outlook.com"/>
    <x v="12"/>
    <n v="9198"/>
    <s v="Low Sales"/>
    <s v="Good Performance"/>
    <n v="2023"/>
    <x v="1"/>
  </r>
  <r>
    <d v="2023-12-25T00:00:00"/>
    <x v="2"/>
    <x v="2"/>
    <s v="P1003"/>
    <s v="office chair"/>
    <s v="rohit.iyer77@outlook.com"/>
    <x v="13"/>
    <n v="9215"/>
    <s v="High Sales"/>
    <s v="Good Performance"/>
    <n v="2023"/>
    <x v="8"/>
  </r>
  <r>
    <d v="2021-08-31T00:00:00"/>
    <x v="2"/>
    <x v="2"/>
    <s v="P1007"/>
    <s v="monitor"/>
    <s v="anita.iyer30@outlook.com"/>
    <x v="14"/>
    <n v="15120"/>
    <s v="High Sales"/>
    <s v="Good Performance"/>
    <n v="2021"/>
    <x v="9"/>
  </r>
  <r>
    <d v="2023-05-25T00:00:00"/>
    <x v="0"/>
    <x v="1"/>
    <s v="P1004"/>
    <s v="desk lamp"/>
    <s v="sneha.das7@outlook.com"/>
    <x v="15"/>
    <n v="6310"/>
    <s v="Low Sales"/>
    <s v="Good Performance"/>
    <n v="2023"/>
    <x v="3"/>
  </r>
  <r>
    <d v="2023-10-29T00:00:00"/>
    <x v="2"/>
    <x v="1"/>
    <s v="P1006"/>
    <s v="keyboard"/>
    <s v="rahul.nair82@outlook.com"/>
    <x v="16"/>
    <n v="16239"/>
    <s v="Low Sales"/>
    <s v="Good Performance"/>
    <n v="2023"/>
    <x v="5"/>
  </r>
  <r>
    <d v="2023-10-26T00:00:00"/>
    <x v="2"/>
    <x v="1"/>
    <s v="P1002"/>
    <s v="wireless mouse"/>
    <s v="sneha.gupta81@gmail.com"/>
    <x v="17"/>
    <n v="8143"/>
    <s v="High Sales"/>
    <s v="Good Performance"/>
    <n v="2023"/>
    <x v="5"/>
  </r>
  <r>
    <d v="2023-05-13T00:00:00"/>
    <x v="1"/>
    <x v="0"/>
    <s v="P1005"/>
    <s v="printer"/>
    <s v="kavya.iyer69@yahoo.com"/>
    <x v="18"/>
    <n v="13066"/>
    <s v="Low Sales"/>
    <s v="Good Performance"/>
    <n v="2023"/>
    <x v="3"/>
  </r>
  <r>
    <d v="2023-01-04T00:00:00"/>
    <x v="1"/>
    <x v="2"/>
    <s v="P1003"/>
    <s v="office chair"/>
    <s v="sneha.das92@yahoo.com"/>
    <x v="19"/>
    <n v="17744"/>
    <s v="Low Sales"/>
    <s v="Good Performance"/>
    <n v="2023"/>
    <x v="7"/>
  </r>
  <r>
    <d v="2023-10-23T00:00:00"/>
    <x v="2"/>
    <x v="1"/>
    <s v="P1004"/>
    <s v="desk lamp"/>
    <s v="anita.das78@gmail.com"/>
    <x v="20"/>
    <n v="10713"/>
    <s v="High Sales"/>
    <s v="Good Performance"/>
    <n v="2023"/>
    <x v="5"/>
  </r>
  <r>
    <d v="2023-04-24T00:00:00"/>
    <x v="0"/>
    <x v="2"/>
    <s v="P1004"/>
    <s v="desk lamp"/>
    <s v="rohit.singh36@outlook.com"/>
    <x v="21"/>
    <n v="5562"/>
    <s v="Low Sales"/>
    <s v="Needs Improvement"/>
    <n v="2023"/>
    <x v="6"/>
  </r>
  <r>
    <d v="2023-04-08T00:00:00"/>
    <x v="2"/>
    <x v="0"/>
    <s v="P1006"/>
    <s v="  keyboard"/>
    <s v="rohit.sharma37@gmail.com"/>
    <x v="22"/>
    <n v="17048"/>
    <s v="High Sales"/>
    <s v="Good Performance"/>
    <n v="2023"/>
    <x v="6"/>
  </r>
  <r>
    <d v="2023-02-20T00:00:00"/>
    <x v="3"/>
    <x v="2"/>
    <s v="P1001"/>
    <s v="laptop stand"/>
    <s v="rahul.roy29@gmail.com"/>
    <x v="23"/>
    <n v="17675"/>
    <s v="High Sales"/>
    <s v="Good Performance"/>
    <n v="2023"/>
    <x v="4"/>
  </r>
  <r>
    <d v="2023-07-31T00:00:00"/>
    <x v="3"/>
    <x v="1"/>
    <s v="P1005"/>
    <s v="printer"/>
    <s v="neha.nair29@companymail.com"/>
    <x v="24"/>
    <n v="9334"/>
    <s v="Low Sales"/>
    <s v="Needs Improvement"/>
    <n v="2023"/>
    <x v="10"/>
  </r>
  <r>
    <d v="2023-06-04T00:00:00"/>
    <x v="1"/>
    <x v="2"/>
    <s v="P1001"/>
    <s v="laptop stand"/>
    <s v="sneha.das11@yahoo.com"/>
    <x v="25"/>
    <n v="9045"/>
    <s v="Low Sales"/>
    <s v="Good Performance"/>
    <n v="2023"/>
    <x v="1"/>
  </r>
  <r>
    <d v="2023-09-08T00:00:00"/>
    <x v="1"/>
    <x v="2"/>
    <s v="P1002"/>
    <s v="wireless mouse"/>
    <s v="amit.das47@yahoo.com"/>
    <x v="26"/>
    <n v="3400"/>
    <s v="High Sales"/>
    <s v="Needs Improvement"/>
    <n v="2023"/>
    <x v="2"/>
  </r>
  <r>
    <d v="2023-03-23T00:00:00"/>
    <x v="3"/>
    <x v="0"/>
    <s v="P1005"/>
    <s v="printer"/>
    <s v="rohit.das59@gmail.com"/>
    <x v="27"/>
    <n v="5207"/>
    <s v="Low Sales"/>
    <s v="Needs Improvement"/>
    <n v="2023"/>
    <x v="0"/>
  </r>
  <r>
    <d v="2024-08-09T00:00:00"/>
    <x v="2"/>
    <x v="0"/>
    <s v="P1007"/>
    <s v="monitor"/>
    <s v="anita.gupta59@outlook.com"/>
    <x v="28"/>
    <n v="10070"/>
    <s v="High Sales"/>
    <s v="Good Performance"/>
    <n v="2024"/>
    <x v="9"/>
  </r>
  <r>
    <d v="2023-05-01T00:00:00"/>
    <x v="3"/>
    <x v="0"/>
    <s v="P1005"/>
    <s v="printer"/>
    <s v="arjun.das58@yahoo.com"/>
    <x v="29"/>
    <n v="17842"/>
    <s v="High Sales"/>
    <s v="Good Performance"/>
    <n v="2023"/>
    <x v="3"/>
  </r>
  <r>
    <d v="2023-07-31T00:00:00"/>
    <x v="1"/>
    <x v="0"/>
    <s v="P1003"/>
    <s v="office chair"/>
    <s v="priya.roy96@gmail.com"/>
    <x v="30"/>
    <n v="4828"/>
    <s v="High Sales"/>
    <s v="Needs Improvement"/>
    <n v="2023"/>
    <x v="10"/>
  </r>
  <r>
    <d v="2023-04-22T00:00:00"/>
    <x v="2"/>
    <x v="2"/>
    <s v="P1001"/>
    <s v="laptop stand"/>
    <s v="vikram.roy77@gmail.com"/>
    <x v="31"/>
    <n v="2830"/>
    <s v="Low Sales"/>
    <s v="Needs Improvement"/>
    <n v="2023"/>
    <x v="6"/>
  </r>
  <r>
    <d v="2023-10-20T00:00:00"/>
    <x v="3"/>
    <x v="2"/>
    <s v="P1001"/>
    <s v="laptop stand"/>
    <s v="kavya.nair88@companymail.com"/>
    <x v="32"/>
    <n v="5352"/>
    <s v="High Sales"/>
    <s v="Good Performance"/>
    <n v="2023"/>
    <x v="5"/>
  </r>
  <r>
    <d v="2023-05-05T00:00:00"/>
    <x v="0"/>
    <x v="2"/>
    <s v="P1007"/>
    <s v="monitor"/>
    <s v="amit.iyer99@outlook.com"/>
    <x v="33"/>
    <n v="2619"/>
    <s v="High Sales"/>
    <s v="Needs Improvement"/>
    <n v="2023"/>
    <x v="3"/>
  </r>
  <r>
    <d v="2023-07-30T00:00:00"/>
    <x v="1"/>
    <x v="2"/>
    <s v="P1007"/>
    <s v="monitor"/>
    <s v="amit.sharma20@gmail.com"/>
    <x v="34"/>
    <n v="9572"/>
    <s v="Low Sales"/>
    <s v="Good Performance"/>
    <n v="2023"/>
    <x v="10"/>
  </r>
  <r>
    <d v="2023-10-18T00:00:00"/>
    <x v="0"/>
    <x v="1"/>
    <s v="P1003"/>
    <s v="office chair"/>
    <s v="kavya.verma20@gmail.com"/>
    <x v="35"/>
    <n v="12360"/>
    <s v="Low Sales"/>
    <s v="Needs Improvement"/>
    <n v="2023"/>
    <x v="5"/>
  </r>
  <r>
    <d v="2023-05-20T00:00:00"/>
    <x v="0"/>
    <x v="2"/>
    <s v="P1005"/>
    <s v="printer"/>
    <s v="rahul.roy94@companymail.com"/>
    <x v="36"/>
    <n v="12383"/>
    <s v="Low Sales"/>
    <s v="Needs Improvement"/>
    <n v="2023"/>
    <x v="3"/>
  </r>
  <r>
    <d v="2023-06-04T00:00:00"/>
    <x v="1"/>
    <x v="2"/>
    <s v="P1005"/>
    <s v="printer"/>
    <s v="neha.verma93@yahoo.com"/>
    <x v="37"/>
    <n v="8928"/>
    <s v="Low Sales"/>
    <s v="Needs Improvement"/>
    <n v="2023"/>
    <x v="1"/>
  </r>
  <r>
    <d v="2023-12-18T00:00:00"/>
    <x v="1"/>
    <x v="0"/>
    <s v="P1004"/>
    <s v="desk lamp"/>
    <s v="kavya.sharma65@gmail.com"/>
    <x v="38"/>
    <n v="3668"/>
    <s v="High Sales"/>
    <s v="Needs Improvement"/>
    <n v="2023"/>
    <x v="8"/>
  </r>
  <r>
    <d v="2023-12-14T00:00:00"/>
    <x v="2"/>
    <x v="2"/>
    <s v="P1003"/>
    <s v="office chair"/>
    <s v="priya.nair35@outlook.com"/>
    <x v="39"/>
    <n v="15535"/>
    <s v="High Sales"/>
    <s v="Good Performance"/>
    <n v="2023"/>
    <x v="8"/>
  </r>
  <r>
    <d v="2023-09-11T00:00:00"/>
    <x v="0"/>
    <x v="2"/>
    <s v="P1007"/>
    <s v="monitor"/>
    <s v="amit.iyer78@outlook.com"/>
    <x v="40"/>
    <n v="2080"/>
    <s v="Low Sales"/>
    <s v="Needs Improvement"/>
    <n v="2023"/>
    <x v="2"/>
  </r>
  <r>
    <d v="2023-04-05T00:00:00"/>
    <x v="2"/>
    <x v="1"/>
    <s v="P1001"/>
    <s v="laptop stand"/>
    <s v="priya.iyer48@outlook.com"/>
    <x v="41"/>
    <n v="13353"/>
    <s v="High Sales"/>
    <s v="Good Performance"/>
    <n v="2023"/>
    <x v="6"/>
  </r>
  <r>
    <d v="2023-12-23T00:00:00"/>
    <x v="0"/>
    <x v="1"/>
    <s v="P1007"/>
    <s v="monitor"/>
    <s v="vikram.iyer87@gmail.com"/>
    <x v="42"/>
    <n v="6729"/>
    <s v="High Sales"/>
    <s v="Good Performance"/>
    <n v="2023"/>
    <x v="8"/>
  </r>
  <r>
    <d v="2023-06-15T00:00:00"/>
    <x v="1"/>
    <x v="0"/>
    <s v="P1005"/>
    <s v="printer"/>
    <s v="sneha.patel14@companymail.com"/>
    <x v="43"/>
    <n v="10859"/>
    <s v="Low Sales"/>
    <s v="Needs Improvement"/>
    <n v="2023"/>
    <x v="1"/>
  </r>
  <r>
    <d v="2023-02-27T00:00:00"/>
    <x v="3"/>
    <x v="1"/>
    <s v="P1004"/>
    <s v="desk lamp"/>
    <s v="rahul.nair78@yahoo.com"/>
    <x v="44"/>
    <n v="5906"/>
    <s v="High Sales"/>
    <s v="Good Performance"/>
    <n v="2023"/>
    <x v="4"/>
  </r>
  <r>
    <d v="2023-02-16T00:00:00"/>
    <x v="3"/>
    <x v="2"/>
    <s v="P1007"/>
    <s v="monitor"/>
    <s v="sneha.patel41@outlook.com"/>
    <x v="45"/>
    <n v="17186"/>
    <s v="Low Sales"/>
    <s v="Needs Improvement"/>
    <n v="2023"/>
    <x v="4"/>
  </r>
  <r>
    <d v="2023-10-26T00:00:00"/>
    <x v="3"/>
    <x v="1"/>
    <s v="P1004"/>
    <s v="desk lamp"/>
    <s v="vikram.mehta90@yahoo.com"/>
    <x v="46"/>
    <n v="3007"/>
    <s v="Low Sales"/>
    <s v="Needs Improvement"/>
    <n v="2023"/>
    <x v="5"/>
  </r>
  <r>
    <d v="2023-10-17T00:00:00"/>
    <x v="3"/>
    <x v="2"/>
    <s v="P1007"/>
    <s v="monitor"/>
    <s v="amit.nair82@outlook.com"/>
    <x v="47"/>
    <n v="12573"/>
    <s v="High Sales"/>
    <s v="Good Performance"/>
    <n v="2023"/>
    <x v="5"/>
  </r>
  <r>
    <d v="2023-06-18T00:00:00"/>
    <x v="0"/>
    <x v="0"/>
    <s v="P1004"/>
    <s v="desk lamp"/>
    <s v="rohit.das46@yahoo.com"/>
    <x v="48"/>
    <n v="7026"/>
    <s v="Low Sales"/>
    <s v="Needs Improvement"/>
    <n v="2023"/>
    <x v="1"/>
  </r>
  <r>
    <d v="2023-04-01T00:00:00"/>
    <x v="0"/>
    <x v="2"/>
    <s v="P1001"/>
    <s v="laptop stand"/>
    <s v="neha.sharma13@companymail.com"/>
    <x v="49"/>
    <n v="15783"/>
    <s v="High Sales"/>
    <s v="Good Performance"/>
    <n v="2023"/>
    <x v="6"/>
  </r>
  <r>
    <d v="2022-03-18T00:00:00"/>
    <x v="0"/>
    <x v="1"/>
    <s v="P1003"/>
    <s v="office chair"/>
    <s v="rahul.patel37@gmail.com"/>
    <x v="50"/>
    <n v="8571"/>
    <s v="High Sales"/>
    <s v="Good Performance"/>
    <n v="2022"/>
    <x v="0"/>
  </r>
  <r>
    <d v="2023-02-20T00:00:00"/>
    <x v="1"/>
    <x v="1"/>
    <s v="P1006"/>
    <s v="keyboard"/>
    <s v="priya.singh3@yahoo.com"/>
    <x v="51"/>
    <n v="15368"/>
    <s v="High Sales"/>
    <s v="Good Performance"/>
    <n v="2023"/>
    <x v="4"/>
  </r>
  <r>
    <d v="2023-11-24T00:00:00"/>
    <x v="0"/>
    <x v="1"/>
    <s v="P1007"/>
    <s v="monitor"/>
    <s v="anita.iyer23@companymail.com"/>
    <x v="52"/>
    <n v="13368"/>
    <s v="Low Sales"/>
    <s v="Needs Improvement"/>
    <n v="2023"/>
    <x v="11"/>
  </r>
  <r>
    <d v="2023-09-27T00:00:00"/>
    <x v="0"/>
    <x v="2"/>
    <s v="P1004"/>
    <s v="desk lamp"/>
    <s v="priya.gupta95@yahoo.com"/>
    <x v="53"/>
    <n v="13520"/>
    <s v="High Sales"/>
    <s v="Good Performance"/>
    <n v="2023"/>
    <x v="2"/>
  </r>
  <r>
    <d v="2023-01-26T00:00:00"/>
    <x v="3"/>
    <x v="0"/>
    <s v="P1007"/>
    <s v="monitor"/>
    <s v="vikram.mehta27@yahoo.com"/>
    <x v="54"/>
    <n v="4346"/>
    <s v="Low Sales"/>
    <s v="Needs Improvement"/>
    <n v="2023"/>
    <x v="7"/>
  </r>
  <r>
    <d v="2023-05-20T00:00:00"/>
    <x v="2"/>
    <x v="1"/>
    <s v="P1005"/>
    <s v="printer"/>
    <s v="arjun.roy38@gmail.com"/>
    <x v="55"/>
    <n v="11962"/>
    <s v="High Sales"/>
    <s v="Good Performance"/>
    <n v="2023"/>
    <x v="3"/>
  </r>
  <r>
    <d v="2023-10-25T00:00:00"/>
    <x v="0"/>
    <x v="0"/>
    <s v="P1004"/>
    <s v="desk lamp"/>
    <s v="amit.das3@yahoo.com"/>
    <x v="56"/>
    <n v="17077"/>
    <s v="Low Sales"/>
    <s v="Needs Improvement"/>
    <n v="2023"/>
    <x v="5"/>
  </r>
  <r>
    <d v="2023-12-17T00:00:00"/>
    <x v="1"/>
    <x v="1"/>
    <s v="P1003"/>
    <s v="office chair"/>
    <s v="priya.nair51@outlook.com"/>
    <x v="57"/>
    <n v="12278"/>
    <s v="High Sales"/>
    <s v="Good Performance"/>
    <n v="2023"/>
    <x v="8"/>
  </r>
  <r>
    <d v="2023-10-23T00:00:00"/>
    <x v="0"/>
    <x v="2"/>
    <s v="P1003"/>
    <s v="office chair"/>
    <s v="kavya.patel70@gmail.com"/>
    <x v="58"/>
    <n v="14041"/>
    <s v="Low Sales"/>
    <s v="Good Performance"/>
    <n v="2023"/>
    <x v="5"/>
  </r>
  <r>
    <d v="2023-11-15T00:00:00"/>
    <x v="1"/>
    <x v="1"/>
    <s v="P1001"/>
    <s v="laptop stand"/>
    <s v="anita.das76@yahoo.com"/>
    <x v="59"/>
    <n v="17083"/>
    <s v="High Sales"/>
    <s v="Good Performance"/>
    <n v="2023"/>
    <x v="11"/>
  </r>
  <r>
    <d v="2023-07-20T00:00:00"/>
    <x v="1"/>
    <x v="0"/>
    <s v="P1005"/>
    <s v="printer"/>
    <s v="amit.sharma79@companymail.com"/>
    <x v="60"/>
    <n v="4054"/>
    <s v="High Sales"/>
    <s v="Needs Improvement"/>
    <n v="2023"/>
    <x v="10"/>
  </r>
  <r>
    <d v="2023-07-24T00:00:00"/>
    <x v="0"/>
    <x v="1"/>
    <s v="P1001"/>
    <s v="laptop stand"/>
    <s v="neha.roy70@companymail.com"/>
    <x v="61"/>
    <n v="1537"/>
    <s v="Low Sales"/>
    <s v="Needs Improvement"/>
    <n v="2023"/>
    <x v="10"/>
  </r>
  <r>
    <d v="2023-08-29T00:00:00"/>
    <x v="3"/>
    <x v="2"/>
    <s v="P1007"/>
    <s v="monitor"/>
    <s v="kavya.singh24@gmail.com"/>
    <x v="62"/>
    <n v="11708"/>
    <s v="Low Sales"/>
    <s v="Good Performance"/>
    <n v="2023"/>
    <x v="9"/>
  </r>
  <r>
    <d v="2023-08-08T00:00:00"/>
    <x v="0"/>
    <x v="1"/>
    <s v="P1006"/>
    <s v="keyboard"/>
    <s v="rahul.singh21@yahoo.com"/>
    <x v="63"/>
    <n v="7226"/>
    <s v="High Sales"/>
    <s v="Good Performance"/>
    <n v="2023"/>
    <x v="9"/>
  </r>
  <r>
    <d v="2023-09-15T00:00:00"/>
    <x v="2"/>
    <x v="0"/>
    <s v="P1006"/>
    <s v="keyboard"/>
    <s v="kavya.singh46@outlook.com"/>
    <x v="64"/>
    <n v="2258"/>
    <s v="High Sales"/>
    <s v="Needs Improvement"/>
    <n v="2023"/>
    <x v="2"/>
  </r>
  <r>
    <d v="2023-01-05T00:00:00"/>
    <x v="3"/>
    <x v="0"/>
    <s v="P1004"/>
    <s v="desk lamp"/>
    <s v="rohit.sharma57@gmail.com"/>
    <x v="65"/>
    <n v="1578"/>
    <s v="Low Sales"/>
    <s v="Needs Improvement"/>
    <n v="2023"/>
    <x v="7"/>
  </r>
  <r>
    <d v="2023-03-11T00:00:00"/>
    <x v="3"/>
    <x v="2"/>
    <s v="P1007"/>
    <s v="monitor"/>
    <s v="vikram.gupta68@gmail.com"/>
    <x v="66"/>
    <n v="11678"/>
    <s v="Low Sales"/>
    <s v="Needs Improvement"/>
    <n v="2023"/>
    <x v="0"/>
  </r>
  <r>
    <d v="2023-01-25T00:00:00"/>
    <x v="1"/>
    <x v="2"/>
    <s v="P1006"/>
    <s v="keyboard"/>
    <s v="neha.gupta95@gmail.com"/>
    <x v="67"/>
    <n v="8417"/>
    <s v="High Sales"/>
    <s v="Good Performance"/>
    <n v="2023"/>
    <x v="7"/>
  </r>
  <r>
    <d v="2023-11-11T00:00:00"/>
    <x v="1"/>
    <x v="2"/>
    <s v="P1003"/>
    <s v="office chair"/>
    <s v="priya.sharma66@yahoo.com"/>
    <x v="68"/>
    <n v="12245"/>
    <s v="High Sales"/>
    <s v="Good Performance"/>
    <n v="2023"/>
    <x v="11"/>
  </r>
  <r>
    <d v="2023-07-24T00:00:00"/>
    <x v="0"/>
    <x v="2"/>
    <s v="P1006"/>
    <s v="keyboard"/>
    <s v="vikram.nair43@gmail.com"/>
    <x v="69"/>
    <n v="4507"/>
    <s v="Low Sales"/>
    <s v="Needs Improvement"/>
    <n v="2023"/>
    <x v="10"/>
  </r>
  <r>
    <d v="2023-12-20T00:00:00"/>
    <x v="3"/>
    <x v="1"/>
    <s v="P1001"/>
    <s v="laptop stand"/>
    <s v="amit.nair97@outlook.com"/>
    <x v="70"/>
    <n v="2684"/>
    <s v="High Sales"/>
    <s v="Needs Improvement"/>
    <n v="2023"/>
    <x v="8"/>
  </r>
  <r>
    <d v="2023-10-24T00:00:00"/>
    <x v="3"/>
    <x v="0"/>
    <s v="P1005"/>
    <s v="printer"/>
    <s v="neha.das26@outlook.com"/>
    <x v="71"/>
    <n v="15360"/>
    <s v="High Sales"/>
    <s v="Good Performance"/>
    <n v="2023"/>
    <x v="5"/>
  </r>
  <r>
    <d v="2023-07-13T00:00:00"/>
    <x v="2"/>
    <x v="1"/>
    <s v="P1003"/>
    <s v="office chair"/>
    <s v="vikram.patel20@gmail.com"/>
    <x v="72"/>
    <n v="9366"/>
    <s v="High Sales"/>
    <s v="Good Performance"/>
    <n v="2023"/>
    <x v="10"/>
  </r>
  <r>
    <d v="2023-10-16T00:00:00"/>
    <x v="0"/>
    <x v="2"/>
    <s v="P1005"/>
    <s v="printer"/>
    <s v="rahul.patel25@yahoo.com"/>
    <x v="73"/>
    <n v="5393"/>
    <s v="High Sales"/>
    <s v="Good Performance"/>
    <n v="2023"/>
    <x v="5"/>
  </r>
  <r>
    <d v="2023-09-20T00:00:00"/>
    <x v="2"/>
    <x v="1"/>
    <s v="P1006"/>
    <s v="keyboard"/>
    <s v="arjun.nair86@companymail.com"/>
    <x v="74"/>
    <n v="8716"/>
    <s v="Low Sales"/>
    <s v="Needs Improvement"/>
    <n v="2023"/>
    <x v="2"/>
  </r>
  <r>
    <d v="2023-01-31T00:00:00"/>
    <x v="1"/>
    <x v="0"/>
    <s v="P1001"/>
    <s v="laptop stand"/>
    <s v="neha.das52@companymail.com"/>
    <x v="75"/>
    <n v="16873"/>
    <s v="Low Sales"/>
    <s v="Good Performance"/>
    <n v="2023"/>
    <x v="7"/>
  </r>
  <r>
    <d v="2023-11-03T00:00:00"/>
    <x v="1"/>
    <x v="0"/>
    <s v="P1006"/>
    <s v="keyboard"/>
    <s v="priya.gupta92@outlook.com"/>
    <x v="76"/>
    <n v="15516"/>
    <s v="High Sales"/>
    <s v="Good Performance"/>
    <n v="2023"/>
    <x v="11"/>
  </r>
  <r>
    <d v="2020-09-10T00:00:00"/>
    <x v="1"/>
    <x v="0"/>
    <s v="P1006"/>
    <s v="keyboard"/>
    <s v="arjun.das58@outlook.com"/>
    <x v="77"/>
    <n v="3432"/>
    <s v="Low Sales"/>
    <s v="Needs Improvement"/>
    <n v="2020"/>
    <x v="2"/>
  </r>
  <r>
    <d v="2023-03-04T00:00:00"/>
    <x v="1"/>
    <x v="1"/>
    <s v="P1003"/>
    <s v="office chair"/>
    <s v="anita.roy38@companymail.com"/>
    <x v="78"/>
    <n v="17986"/>
    <s v="Low Sales"/>
    <s v="Good Performance"/>
    <n v="2023"/>
    <x v="0"/>
  </r>
  <r>
    <d v="2023-12-24T00:00:00"/>
    <x v="1"/>
    <x v="0"/>
    <s v="P1002"/>
    <s v="wireless mouse"/>
    <s v="vikram.sharma27@outlook.com"/>
    <x v="79"/>
    <n v="1994"/>
    <s v="High Sales"/>
    <s v="Needs Improvement"/>
    <n v="2023"/>
    <x v="8"/>
  </r>
  <r>
    <m/>
    <x v="4"/>
    <x v="3"/>
    <m/>
    <m/>
    <m/>
    <x v="80"/>
    <m/>
    <m/>
    <m/>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A92E5A-81D5-4954-B6B7-D24931129FD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A2:B7" firstHeaderRow="1" firstDataRow="1" firstDataCol="1"/>
  <pivotFields count="12">
    <pivotField showAll="0"/>
    <pivotField axis="axisRow" showAll="0" sortType="descending">
      <items count="6">
        <item x="1"/>
        <item x="0"/>
        <item x="2"/>
        <item x="3"/>
        <item h="1" x="4"/>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pivotField showAll="0"/>
    <pivotField showAll="0"/>
    <pivotField dataField="1" showAll="0">
      <items count="82">
        <item x="40"/>
        <item x="45"/>
        <item x="74"/>
        <item x="24"/>
        <item x="56"/>
        <item x="66"/>
        <item x="8"/>
        <item x="48"/>
        <item x="37"/>
        <item x="36"/>
        <item x="43"/>
        <item x="4"/>
        <item x="35"/>
        <item x="52"/>
        <item x="27"/>
        <item x="21"/>
        <item x="9"/>
        <item x="10"/>
        <item x="31"/>
        <item x="54"/>
        <item x="75"/>
        <item x="25"/>
        <item x="78"/>
        <item x="18"/>
        <item x="2"/>
        <item x="16"/>
        <item x="46"/>
        <item x="12"/>
        <item x="69"/>
        <item x="0"/>
        <item x="3"/>
        <item x="58"/>
        <item x="61"/>
        <item x="65"/>
        <item x="34"/>
        <item x="62"/>
        <item x="19"/>
        <item x="77"/>
        <item x="15"/>
        <item x="50"/>
        <item x="70"/>
        <item x="49"/>
        <item x="47"/>
        <item x="13"/>
        <item x="17"/>
        <item x="14"/>
        <item x="64"/>
        <item x="53"/>
        <item x="44"/>
        <item x="7"/>
        <item x="33"/>
        <item x="41"/>
        <item x="60"/>
        <item x="30"/>
        <item x="23"/>
        <item x="20"/>
        <item x="68"/>
        <item x="32"/>
        <item x="57"/>
        <item x="55"/>
        <item x="22"/>
        <item x="28"/>
        <item x="6"/>
        <item x="67"/>
        <item x="59"/>
        <item x="51"/>
        <item x="1"/>
        <item x="63"/>
        <item x="26"/>
        <item x="11"/>
        <item x="71"/>
        <item x="76"/>
        <item x="73"/>
        <item x="42"/>
        <item x="39"/>
        <item x="29"/>
        <item x="72"/>
        <item x="38"/>
        <item x="5"/>
        <item x="79"/>
        <item x="80"/>
        <item t="default"/>
      </items>
    </pivotField>
    <pivotField showAll="0"/>
    <pivotField showAll="0"/>
    <pivotField showAll="0"/>
    <pivotField showAll="0"/>
    <pivotField showAll="0"/>
  </pivotFields>
  <rowFields count="1">
    <field x="1"/>
  </rowFields>
  <rowItems count="5">
    <i>
      <x/>
    </i>
    <i>
      <x v="1"/>
    </i>
    <i>
      <x v="2"/>
    </i>
    <i>
      <x v="3"/>
    </i>
    <i t="grand">
      <x/>
    </i>
  </rowItems>
  <colItems count="1">
    <i/>
  </colItems>
  <dataFields count="1">
    <dataField name="Sum of Sales" fld="6" baseField="0" baseItem="0"/>
  </dataFields>
  <formats count="2">
    <format dxfId="3">
      <pivotArea collapsedLevelsAreSubtotals="1" fieldPosition="0">
        <references count="1">
          <reference field="1" count="0"/>
        </references>
      </pivotArea>
    </format>
    <format dxfId="4">
      <pivotArea grandRow="1"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AE7005-F60B-45FC-A0AB-8EF2C01B6AB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tegory">
  <location ref="A2:B6" firstHeaderRow="1" firstDataRow="1" firstDataCol="1"/>
  <pivotFields count="12">
    <pivotField showAll="0"/>
    <pivotField showAll="0">
      <items count="6">
        <item x="1"/>
        <item x="0"/>
        <item x="2"/>
        <item x="3"/>
        <item h="1" x="4"/>
        <item t="default"/>
      </items>
    </pivotField>
    <pivotField axis="axisRow" showAll="0">
      <items count="5">
        <item x="1"/>
        <item x="2"/>
        <item x="0"/>
        <item x="3"/>
        <item t="default"/>
      </items>
    </pivotField>
    <pivotField showAll="0"/>
    <pivotField showAll="0"/>
    <pivotField showAll="0"/>
    <pivotField showAll="0"/>
    <pivotField dataField="1" showAll="0"/>
    <pivotField showAll="0"/>
    <pivotField showAll="0"/>
    <pivotField showAll="0"/>
    <pivotField showAll="0"/>
  </pivotFields>
  <rowFields count="1">
    <field x="2"/>
  </rowFields>
  <rowItems count="4">
    <i>
      <x/>
    </i>
    <i>
      <x v="1"/>
    </i>
    <i>
      <x v="2"/>
    </i>
    <i t="grand">
      <x/>
    </i>
  </rowItems>
  <colItems count="1">
    <i/>
  </colItems>
  <dataFields count="1">
    <dataField name="Profit %" fld="7" showDataAs="percentOfTotal" baseField="0" baseItem="0" numFmtId="10"/>
  </dataFields>
  <formats count="2">
    <format dxfId="0">
      <pivotArea collapsedLevelsAreSubtotals="1" fieldPosition="0">
        <references count="1">
          <reference field="2" count="0"/>
        </references>
      </pivotArea>
    </format>
    <format dxfId="1">
      <pivotArea grandRow="1" outline="0" collapsedLevelsAreSubtotals="1" fieldPosition="0"/>
    </format>
  </formats>
  <chartFormats count="3">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05F42F-2A21-4B8E-B38F-F3EB3E0A320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s">
  <location ref="A2:B15" firstHeaderRow="1" firstDataRow="1" firstDataCol="1"/>
  <pivotFields count="12">
    <pivotField showAll="0"/>
    <pivotField showAll="0">
      <items count="6">
        <item x="1"/>
        <item x="0"/>
        <item x="2"/>
        <item x="3"/>
        <item h="1" x="4"/>
        <item t="default"/>
      </items>
    </pivotField>
    <pivotField showAll="0">
      <items count="5">
        <item x="1"/>
        <item x="2"/>
        <item x="0"/>
        <item x="3"/>
        <item t="default"/>
      </items>
    </pivotField>
    <pivotField showAll="0"/>
    <pivotField showAll="0"/>
    <pivotField showAll="0"/>
    <pivotField dataField="1" showAll="0"/>
    <pivotField showAll="0"/>
    <pivotField showAll="0"/>
    <pivotField showAll="0"/>
    <pivotField showAll="0"/>
    <pivotField axis="axisRow" showAll="0">
      <items count="14">
        <item x="7"/>
        <item x="4"/>
        <item x="0"/>
        <item x="6"/>
        <item x="3"/>
        <item x="1"/>
        <item x="10"/>
        <item x="9"/>
        <item x="2"/>
        <item x="5"/>
        <item x="11"/>
        <item x="8"/>
        <item h="1" x="12"/>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Sum of Sales" fld="6" baseField="0" baseItem="0"/>
  </dataFields>
  <chartFormats count="3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2"/>
          </reference>
        </references>
      </pivotArea>
    </chartFormat>
    <chartFormat chart="0" format="3">
      <pivotArea type="data" outline="0" fieldPosition="0">
        <references count="2">
          <reference field="4294967294" count="1" selected="0">
            <x v="0"/>
          </reference>
          <reference field="11" count="1" selected="0">
            <x v="3"/>
          </reference>
        </references>
      </pivotArea>
    </chartFormat>
    <chartFormat chart="0" format="4">
      <pivotArea type="data" outline="0" fieldPosition="0">
        <references count="2">
          <reference field="4294967294" count="1" selected="0">
            <x v="0"/>
          </reference>
          <reference field="11" count="1" selected="0">
            <x v="4"/>
          </reference>
        </references>
      </pivotArea>
    </chartFormat>
    <chartFormat chart="0" format="5">
      <pivotArea type="data" outline="0" fieldPosition="0">
        <references count="2">
          <reference field="4294967294" count="1" selected="0">
            <x v="0"/>
          </reference>
          <reference field="11" count="1" selected="0">
            <x v="6"/>
          </reference>
        </references>
      </pivotArea>
    </chartFormat>
    <chartFormat chart="0" format="6">
      <pivotArea type="data" outline="0" fieldPosition="0">
        <references count="2">
          <reference field="4294967294" count="1" selected="0">
            <x v="0"/>
          </reference>
          <reference field="11" count="1" selected="0">
            <x v="5"/>
          </reference>
        </references>
      </pivotArea>
    </chartFormat>
    <chartFormat chart="0" format="7">
      <pivotArea type="data" outline="0" fieldPosition="0">
        <references count="2">
          <reference field="4294967294" count="1" selected="0">
            <x v="0"/>
          </reference>
          <reference field="11" count="1" selected="0">
            <x v="7"/>
          </reference>
        </references>
      </pivotArea>
    </chartFormat>
    <chartFormat chart="0" format="8">
      <pivotArea type="data" outline="0" fieldPosition="0">
        <references count="2">
          <reference field="4294967294" count="1" selected="0">
            <x v="0"/>
          </reference>
          <reference field="11" count="1" selected="0">
            <x v="8"/>
          </reference>
        </references>
      </pivotArea>
    </chartFormat>
    <chartFormat chart="0" format="9">
      <pivotArea type="data" outline="0" fieldPosition="0">
        <references count="2">
          <reference field="4294967294" count="1" selected="0">
            <x v="0"/>
          </reference>
          <reference field="11" count="1" selected="0">
            <x v="10"/>
          </reference>
        </references>
      </pivotArea>
    </chartFormat>
    <chartFormat chart="0" format="10">
      <pivotArea type="data" outline="0" fieldPosition="0">
        <references count="2">
          <reference field="4294967294" count="1" selected="0">
            <x v="0"/>
          </reference>
          <reference field="11" count="1" selected="0">
            <x v="11"/>
          </reference>
        </references>
      </pivotArea>
    </chartFormat>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11" count="1" selected="0">
            <x v="1"/>
          </reference>
        </references>
      </pivotArea>
    </chartFormat>
    <chartFormat chart="3" format="24">
      <pivotArea type="data" outline="0" fieldPosition="0">
        <references count="2">
          <reference field="4294967294" count="1" selected="0">
            <x v="0"/>
          </reference>
          <reference field="11" count="1" selected="0">
            <x v="2"/>
          </reference>
        </references>
      </pivotArea>
    </chartFormat>
    <chartFormat chart="3" format="25">
      <pivotArea type="data" outline="0" fieldPosition="0">
        <references count="2">
          <reference field="4294967294" count="1" selected="0">
            <x v="0"/>
          </reference>
          <reference field="11" count="1" selected="0">
            <x v="3"/>
          </reference>
        </references>
      </pivotArea>
    </chartFormat>
    <chartFormat chart="3" format="26">
      <pivotArea type="data" outline="0" fieldPosition="0">
        <references count="2">
          <reference field="4294967294" count="1" selected="0">
            <x v="0"/>
          </reference>
          <reference field="11" count="1" selected="0">
            <x v="4"/>
          </reference>
        </references>
      </pivotArea>
    </chartFormat>
    <chartFormat chart="3" format="27">
      <pivotArea type="data" outline="0" fieldPosition="0">
        <references count="2">
          <reference field="4294967294" count="1" selected="0">
            <x v="0"/>
          </reference>
          <reference field="11" count="1" selected="0">
            <x v="5"/>
          </reference>
        </references>
      </pivotArea>
    </chartFormat>
    <chartFormat chart="3" format="28">
      <pivotArea type="data" outline="0" fieldPosition="0">
        <references count="2">
          <reference field="4294967294" count="1" selected="0">
            <x v="0"/>
          </reference>
          <reference field="11" count="1" selected="0">
            <x v="6"/>
          </reference>
        </references>
      </pivotArea>
    </chartFormat>
    <chartFormat chart="3" format="29">
      <pivotArea type="data" outline="0" fieldPosition="0">
        <references count="2">
          <reference field="4294967294" count="1" selected="0">
            <x v="0"/>
          </reference>
          <reference field="11" count="1" selected="0">
            <x v="7"/>
          </reference>
        </references>
      </pivotArea>
    </chartFormat>
    <chartFormat chart="3" format="30">
      <pivotArea type="data" outline="0" fieldPosition="0">
        <references count="2">
          <reference field="4294967294" count="1" selected="0">
            <x v="0"/>
          </reference>
          <reference field="11" count="1" selected="0">
            <x v="8"/>
          </reference>
        </references>
      </pivotArea>
    </chartFormat>
    <chartFormat chart="3" format="31">
      <pivotArea type="data" outline="0" fieldPosition="0">
        <references count="2">
          <reference field="4294967294" count="1" selected="0">
            <x v="0"/>
          </reference>
          <reference field="11" count="1" selected="0">
            <x v="10"/>
          </reference>
        </references>
      </pivotArea>
    </chartFormat>
    <chartFormat chart="3" format="32">
      <pivotArea type="data" outline="0" fieldPosition="0">
        <references count="2">
          <reference field="4294967294" count="1" selected="0">
            <x v="0"/>
          </reference>
          <reference field="11" count="1" selected="0">
            <x v="11"/>
          </reference>
        </references>
      </pivotArea>
    </chartFormat>
    <chartFormat chart="6" format="44" series="1">
      <pivotArea type="data" outline="0" fieldPosition="0">
        <references count="1">
          <reference field="4294967294" count="1" selected="0">
            <x v="0"/>
          </reference>
        </references>
      </pivotArea>
    </chartFormat>
    <chartFormat chart="6" format="45">
      <pivotArea type="data" outline="0" fieldPosition="0">
        <references count="2">
          <reference field="4294967294" count="1" selected="0">
            <x v="0"/>
          </reference>
          <reference field="11" count="1" selected="0">
            <x v="1"/>
          </reference>
        </references>
      </pivotArea>
    </chartFormat>
    <chartFormat chart="6" format="46">
      <pivotArea type="data" outline="0" fieldPosition="0">
        <references count="2">
          <reference field="4294967294" count="1" selected="0">
            <x v="0"/>
          </reference>
          <reference field="11" count="1" selected="0">
            <x v="2"/>
          </reference>
        </references>
      </pivotArea>
    </chartFormat>
    <chartFormat chart="6" format="47">
      <pivotArea type="data" outline="0" fieldPosition="0">
        <references count="2">
          <reference field="4294967294" count="1" selected="0">
            <x v="0"/>
          </reference>
          <reference field="11" count="1" selected="0">
            <x v="3"/>
          </reference>
        </references>
      </pivotArea>
    </chartFormat>
    <chartFormat chart="6" format="48">
      <pivotArea type="data" outline="0" fieldPosition="0">
        <references count="2">
          <reference field="4294967294" count="1" selected="0">
            <x v="0"/>
          </reference>
          <reference field="11" count="1" selected="0">
            <x v="4"/>
          </reference>
        </references>
      </pivotArea>
    </chartFormat>
    <chartFormat chart="6" format="49">
      <pivotArea type="data" outline="0" fieldPosition="0">
        <references count="2">
          <reference field="4294967294" count="1" selected="0">
            <x v="0"/>
          </reference>
          <reference field="11" count="1" selected="0">
            <x v="5"/>
          </reference>
        </references>
      </pivotArea>
    </chartFormat>
    <chartFormat chart="6" format="50">
      <pivotArea type="data" outline="0" fieldPosition="0">
        <references count="2">
          <reference field="4294967294" count="1" selected="0">
            <x v="0"/>
          </reference>
          <reference field="11" count="1" selected="0">
            <x v="6"/>
          </reference>
        </references>
      </pivotArea>
    </chartFormat>
    <chartFormat chart="6" format="51">
      <pivotArea type="data" outline="0" fieldPosition="0">
        <references count="2">
          <reference field="4294967294" count="1" selected="0">
            <x v="0"/>
          </reference>
          <reference field="11" count="1" selected="0">
            <x v="7"/>
          </reference>
        </references>
      </pivotArea>
    </chartFormat>
    <chartFormat chart="6" format="52">
      <pivotArea type="data" outline="0" fieldPosition="0">
        <references count="2">
          <reference field="4294967294" count="1" selected="0">
            <x v="0"/>
          </reference>
          <reference field="11" count="1" selected="0">
            <x v="8"/>
          </reference>
        </references>
      </pivotArea>
    </chartFormat>
    <chartFormat chart="6" format="53">
      <pivotArea type="data" outline="0" fieldPosition="0">
        <references count="2">
          <reference field="4294967294" count="1" selected="0">
            <x v="0"/>
          </reference>
          <reference field="11" count="1" selected="0">
            <x v="10"/>
          </reference>
        </references>
      </pivotArea>
    </chartFormat>
    <chartFormat chart="6" format="54">
      <pivotArea type="data" outline="0" fieldPosition="0">
        <references count="2">
          <reference field="4294967294" count="1" selected="0">
            <x v="0"/>
          </reference>
          <reference field="1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CD7E2B-6B04-467D-B01F-7D807387F74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3" firstHeaderRow="0" firstDataRow="1" firstDataCol="0"/>
  <pivotFields count="12">
    <pivotField showAll="0"/>
    <pivotField showAll="0">
      <items count="6">
        <item x="1"/>
        <item x="0"/>
        <item x="2"/>
        <item x="3"/>
        <item h="1" x="4"/>
        <item t="default"/>
      </items>
    </pivotField>
    <pivotField showAll="0">
      <items count="5">
        <item x="1"/>
        <item x="2"/>
        <item x="0"/>
        <item x="3"/>
        <item t="default"/>
      </items>
    </pivotField>
    <pivotField showAll="0"/>
    <pivotField showAll="0"/>
    <pivotField showAll="0"/>
    <pivotField dataField="1" showAll="0"/>
    <pivotField dataField="1" showAll="0"/>
    <pivotField showAll="0"/>
    <pivotField showAll="0"/>
    <pivotField showAll="0"/>
    <pivotField showAll="0"/>
  </pivotFields>
  <rowItems count="1">
    <i/>
  </rowItems>
  <colFields count="1">
    <field x="-2"/>
  </colFields>
  <colItems count="3">
    <i>
      <x/>
    </i>
    <i i="1">
      <x v="1"/>
    </i>
    <i i="2">
      <x v="2"/>
    </i>
  </colItems>
  <dataFields count="3">
    <dataField name="Total Sales" fld="6" baseField="0" baseItem="0" numFmtId="165"/>
    <dataField name="Total Profit" fld="7" baseField="0" baseItem="1"/>
    <dataField name="Average of Sales" fld="6" subtotal="average"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2B7EE45-8B21-4351-AAA7-2F175E15BAED}" sourceName="Region">
  <pivotTables>
    <pivotTable tabId="8" name="PivotTable1"/>
    <pivotTable tabId="12" name="PivotTable1"/>
    <pivotTable tabId="10" name="PivotTable3"/>
    <pivotTable tabId="9" name="PivotTable2"/>
  </pivotTables>
  <data>
    <tabular pivotCacheId="1575573714">
      <items count="5">
        <i x="1" s="1"/>
        <i x="0" s="1"/>
        <i x="2" s="1"/>
        <i x="3" s="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509EEB-6848-454D-8A06-0BD79799FE22}" sourceName="Category">
  <pivotTables>
    <pivotTable tabId="9" name="PivotTable2"/>
    <pivotTable tabId="10" name="PivotTable3"/>
    <pivotTable tabId="8" name="PivotTable1"/>
    <pivotTable tabId="12" name="PivotTable1"/>
  </pivotTables>
  <data>
    <tabular pivotCacheId="1575573714">
      <items count="4">
        <i x="1" s="1"/>
        <i x="2" s="1"/>
        <i x="0"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A12E26D-BE8E-46F0-BAE0-610618C406FE}" cache="Slicer_Region" caption="Region" columnCount="2" style="SlicerStyleOther1" rowHeight="241300"/>
  <slicer name="Category" xr10:uid="{5B5731BD-2EB7-4AED-A291-1803E6DABE0B}" cache="Slicer_Category" caption="Category" columnCount="2"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1"/>
  <sheetViews>
    <sheetView workbookViewId="0">
      <selection sqref="A1:XFD1048576"/>
    </sheetView>
  </sheetViews>
  <sheetFormatPr defaultRowHeight="14.5" x14ac:dyDescent="0.35"/>
  <cols>
    <col min="1" max="1" width="11.90625" style="5" customWidth="1"/>
    <col min="2" max="2" width="9.81640625" customWidth="1"/>
    <col min="3" max="3" width="13.1796875" bestFit="1" customWidth="1"/>
    <col min="4" max="4" width="11.81640625" style="5" customWidth="1"/>
    <col min="5" max="5" width="13.7265625" bestFit="1" customWidth="1"/>
    <col min="6" max="6" width="31.36328125" bestFit="1" customWidth="1"/>
    <col min="7" max="8" width="8.7265625" style="5"/>
    <col min="9" max="9" width="13.6328125" style="5" customWidth="1"/>
    <col min="10" max="10" width="19.54296875" customWidth="1"/>
    <col min="11" max="11" width="8.7265625" style="5"/>
    <col min="12" max="12" width="13.08984375" style="5" customWidth="1"/>
  </cols>
  <sheetData>
    <row r="1" spans="1:12" x14ac:dyDescent="0.35">
      <c r="A1" s="3" t="s">
        <v>0</v>
      </c>
      <c r="B1" s="1" t="s">
        <v>1</v>
      </c>
      <c r="C1" s="1" t="s">
        <v>2</v>
      </c>
      <c r="D1" s="3" t="s">
        <v>3</v>
      </c>
      <c r="E1" s="1" t="s">
        <v>4</v>
      </c>
      <c r="F1" s="1" t="s">
        <v>5</v>
      </c>
      <c r="G1" s="3" t="s">
        <v>6</v>
      </c>
      <c r="H1" s="3" t="s">
        <v>7</v>
      </c>
      <c r="I1" s="3" t="s">
        <v>132</v>
      </c>
      <c r="J1" s="3" t="s">
        <v>133</v>
      </c>
      <c r="K1" s="3" t="s">
        <v>233</v>
      </c>
      <c r="L1" s="3" t="s">
        <v>234</v>
      </c>
    </row>
    <row r="2" spans="1:12" x14ac:dyDescent="0.35">
      <c r="A2" s="6">
        <v>44998</v>
      </c>
      <c r="B2" t="s">
        <v>8</v>
      </c>
      <c r="C2" t="s">
        <v>9</v>
      </c>
      <c r="D2" s="5" t="s">
        <v>10</v>
      </c>
      <c r="E2" t="s">
        <v>143</v>
      </c>
      <c r="F2" t="s">
        <v>12</v>
      </c>
      <c r="G2" s="5">
        <v>41519</v>
      </c>
      <c r="H2" s="5">
        <v>1598</v>
      </c>
      <c r="I2" s="5" t="str">
        <f>IF(G2&gt;50000,"High Sales","Low Sales")</f>
        <v>Low Sales</v>
      </c>
      <c r="J2" t="str">
        <f>IF(AND(G2&gt;30000,H2&gt;5000),"Good Performance","Needs Improvement")</f>
        <v>Needs Improvement</v>
      </c>
      <c r="K2" s="5">
        <f>YEAR(A2)</f>
        <v>2023</v>
      </c>
      <c r="L2" s="5" t="str">
        <f>TEXT(A2,"mmmm")</f>
        <v>March</v>
      </c>
    </row>
    <row r="3" spans="1:12" x14ac:dyDescent="0.35">
      <c r="A3" s="6">
        <v>45099</v>
      </c>
      <c r="B3" t="s">
        <v>13</v>
      </c>
      <c r="C3" t="s">
        <v>14</v>
      </c>
      <c r="D3" s="5" t="s">
        <v>10</v>
      </c>
      <c r="E3" t="s">
        <v>11</v>
      </c>
      <c r="F3" t="s">
        <v>15</v>
      </c>
      <c r="G3" s="5">
        <v>74551</v>
      </c>
      <c r="H3" s="5">
        <v>2929</v>
      </c>
      <c r="I3" s="5" t="str">
        <f t="shared" ref="I3:I66" si="0">IF(G3&gt;50000,"High Sales","Low Sales")</f>
        <v>High Sales</v>
      </c>
      <c r="J3" t="str">
        <f t="shared" ref="J3:J66" si="1">IF(AND(G3&gt;30000,H3&gt;5000),"Good Performance","Needs Improvement")</f>
        <v>Needs Improvement</v>
      </c>
      <c r="K3" s="5">
        <f t="shared" ref="K3:K66" si="2">YEAR(A3)</f>
        <v>2023</v>
      </c>
      <c r="L3" s="5" t="str">
        <f t="shared" ref="L3:L66" si="3">TEXT(A3,"mmmm")</f>
        <v>June</v>
      </c>
    </row>
    <row r="4" spans="1:12" x14ac:dyDescent="0.35">
      <c r="A4" s="6">
        <v>44991</v>
      </c>
      <c r="B4" t="s">
        <v>16</v>
      </c>
      <c r="C4" t="s">
        <v>9</v>
      </c>
      <c r="D4" s="5" t="s">
        <v>17</v>
      </c>
      <c r="E4" t="s">
        <v>18</v>
      </c>
      <c r="F4" t="s">
        <v>19</v>
      </c>
      <c r="G4" s="5">
        <v>39707</v>
      </c>
      <c r="H4" s="5">
        <v>10251</v>
      </c>
      <c r="I4" s="5" t="str">
        <f t="shared" si="0"/>
        <v>Low Sales</v>
      </c>
      <c r="J4" t="str">
        <f t="shared" si="1"/>
        <v>Good Performance</v>
      </c>
      <c r="K4" s="5">
        <f t="shared" si="2"/>
        <v>2023</v>
      </c>
      <c r="L4" s="5" t="str">
        <f t="shared" si="3"/>
        <v>March</v>
      </c>
    </row>
    <row r="5" spans="1:12" x14ac:dyDescent="0.35">
      <c r="A5" s="6">
        <v>45187</v>
      </c>
      <c r="B5" t="s">
        <v>13</v>
      </c>
      <c r="C5" t="s">
        <v>9</v>
      </c>
      <c r="D5" s="5" t="s">
        <v>20</v>
      </c>
      <c r="E5" t="s">
        <v>21</v>
      </c>
      <c r="F5" t="s">
        <v>22</v>
      </c>
      <c r="G5" s="5">
        <v>41740</v>
      </c>
      <c r="H5" s="5">
        <v>5926</v>
      </c>
      <c r="I5" s="5" t="str">
        <f t="shared" si="0"/>
        <v>Low Sales</v>
      </c>
      <c r="J5" t="str">
        <f t="shared" si="1"/>
        <v>Good Performance</v>
      </c>
      <c r="K5" s="5">
        <f t="shared" si="2"/>
        <v>2023</v>
      </c>
      <c r="L5" s="5" t="str">
        <f t="shared" si="3"/>
        <v>September</v>
      </c>
    </row>
    <row r="6" spans="1:12" x14ac:dyDescent="0.35">
      <c r="A6" s="6">
        <v>45066</v>
      </c>
      <c r="B6" t="s">
        <v>8</v>
      </c>
      <c r="C6" t="s">
        <v>9</v>
      </c>
      <c r="D6" s="5" t="s">
        <v>23</v>
      </c>
      <c r="E6" t="s">
        <v>24</v>
      </c>
      <c r="F6" t="s">
        <v>25</v>
      </c>
      <c r="G6" s="5">
        <v>25679</v>
      </c>
      <c r="H6" s="5">
        <v>16897</v>
      </c>
      <c r="I6" s="5" t="str">
        <f t="shared" si="0"/>
        <v>Low Sales</v>
      </c>
      <c r="J6" t="str">
        <f t="shared" si="1"/>
        <v>Needs Improvement</v>
      </c>
      <c r="K6" s="5">
        <f t="shared" si="2"/>
        <v>2023</v>
      </c>
      <c r="L6" s="5" t="str">
        <f t="shared" si="3"/>
        <v>May</v>
      </c>
    </row>
    <row r="7" spans="1:12" x14ac:dyDescent="0.35">
      <c r="A7" s="6">
        <v>44978</v>
      </c>
      <c r="B7" t="s">
        <v>13</v>
      </c>
      <c r="C7" t="s">
        <v>9</v>
      </c>
      <c r="D7" s="5" t="s">
        <v>17</v>
      </c>
      <c r="E7" t="s">
        <v>18</v>
      </c>
      <c r="F7" t="s">
        <v>26</v>
      </c>
      <c r="G7" s="5">
        <v>93596</v>
      </c>
      <c r="H7" s="5">
        <v>16635</v>
      </c>
      <c r="I7" s="5" t="str">
        <f t="shared" si="0"/>
        <v>High Sales</v>
      </c>
      <c r="J7" t="str">
        <f t="shared" si="1"/>
        <v>Good Performance</v>
      </c>
      <c r="K7" s="5">
        <f t="shared" si="2"/>
        <v>2023</v>
      </c>
      <c r="L7" s="5" t="str">
        <f t="shared" si="3"/>
        <v>February</v>
      </c>
    </row>
    <row r="8" spans="1:12" x14ac:dyDescent="0.35">
      <c r="A8" s="6">
        <v>45211</v>
      </c>
      <c r="B8" t="s">
        <v>8</v>
      </c>
      <c r="C8" t="s">
        <v>9</v>
      </c>
      <c r="D8" s="5" t="s">
        <v>10</v>
      </c>
      <c r="E8" t="s">
        <v>11</v>
      </c>
      <c r="F8" t="s">
        <v>27</v>
      </c>
      <c r="G8" s="5">
        <v>73436</v>
      </c>
      <c r="H8" s="5">
        <v>11543</v>
      </c>
      <c r="I8" s="5" t="str">
        <f t="shared" si="0"/>
        <v>High Sales</v>
      </c>
      <c r="J8" t="str">
        <f t="shared" si="1"/>
        <v>Good Performance</v>
      </c>
      <c r="K8" s="5">
        <f t="shared" si="2"/>
        <v>2023</v>
      </c>
      <c r="L8" s="5" t="str">
        <f t="shared" si="3"/>
        <v>October</v>
      </c>
    </row>
    <row r="9" spans="1:12" x14ac:dyDescent="0.35">
      <c r="A9" s="6">
        <v>45230</v>
      </c>
      <c r="B9" t="s">
        <v>13</v>
      </c>
      <c r="C9" t="s">
        <v>28</v>
      </c>
      <c r="D9" s="5" t="s">
        <v>20</v>
      </c>
      <c r="E9" t="s">
        <v>21</v>
      </c>
      <c r="F9" t="s">
        <v>29</v>
      </c>
      <c r="G9" s="5">
        <v>57615</v>
      </c>
      <c r="H9" s="5">
        <v>10638</v>
      </c>
      <c r="I9" s="5" t="str">
        <f t="shared" si="0"/>
        <v>High Sales</v>
      </c>
      <c r="J9" t="str">
        <f t="shared" si="1"/>
        <v>Good Performance</v>
      </c>
      <c r="K9" s="5">
        <f t="shared" si="2"/>
        <v>2023</v>
      </c>
      <c r="L9" s="5" t="str">
        <f t="shared" si="3"/>
        <v>October</v>
      </c>
    </row>
    <row r="10" spans="1:12" x14ac:dyDescent="0.35">
      <c r="A10" s="6">
        <v>44675</v>
      </c>
      <c r="B10" t="s">
        <v>8</v>
      </c>
      <c r="C10" t="s">
        <v>9</v>
      </c>
      <c r="D10" s="5" t="s">
        <v>17</v>
      </c>
      <c r="E10" t="s">
        <v>18</v>
      </c>
      <c r="F10" t="s">
        <v>30</v>
      </c>
      <c r="G10" s="5">
        <v>20610</v>
      </c>
      <c r="H10" s="5">
        <v>11441</v>
      </c>
      <c r="I10" s="5" t="str">
        <f t="shared" si="0"/>
        <v>Low Sales</v>
      </c>
      <c r="J10" t="str">
        <f t="shared" si="1"/>
        <v>Needs Improvement</v>
      </c>
      <c r="K10" s="5">
        <f t="shared" si="2"/>
        <v>2022</v>
      </c>
      <c r="L10" s="5" t="str">
        <f t="shared" si="3"/>
        <v>April</v>
      </c>
    </row>
    <row r="11" spans="1:12" x14ac:dyDescent="0.35">
      <c r="A11" s="6">
        <v>44954</v>
      </c>
      <c r="B11" t="s">
        <v>8</v>
      </c>
      <c r="C11" t="s">
        <v>9</v>
      </c>
      <c r="D11" s="5" t="s">
        <v>31</v>
      </c>
      <c r="E11" t="s">
        <v>144</v>
      </c>
      <c r="F11" t="s">
        <v>33</v>
      </c>
      <c r="G11" s="5">
        <v>30927</v>
      </c>
      <c r="H11" s="5">
        <v>7697</v>
      </c>
      <c r="I11" s="5" t="str">
        <f t="shared" si="0"/>
        <v>Low Sales</v>
      </c>
      <c r="J11" t="str">
        <f t="shared" si="1"/>
        <v>Good Performance</v>
      </c>
      <c r="K11" s="5">
        <f t="shared" si="2"/>
        <v>2023</v>
      </c>
      <c r="L11" s="5" t="str">
        <f t="shared" si="3"/>
        <v>January</v>
      </c>
    </row>
    <row r="12" spans="1:12" x14ac:dyDescent="0.35">
      <c r="A12" s="6">
        <v>45039</v>
      </c>
      <c r="B12" t="s">
        <v>13</v>
      </c>
      <c r="C12" t="s">
        <v>28</v>
      </c>
      <c r="D12" s="5" t="s">
        <v>10</v>
      </c>
      <c r="E12" t="s">
        <v>143</v>
      </c>
      <c r="F12" t="s">
        <v>34</v>
      </c>
      <c r="G12" s="5">
        <v>32186</v>
      </c>
      <c r="H12" s="5">
        <v>9561</v>
      </c>
      <c r="I12" s="5" t="str">
        <f t="shared" si="0"/>
        <v>Low Sales</v>
      </c>
      <c r="J12" t="str">
        <f t="shared" si="1"/>
        <v>Good Performance</v>
      </c>
      <c r="K12" s="5">
        <f t="shared" si="2"/>
        <v>2023</v>
      </c>
      <c r="L12" s="5" t="str">
        <f t="shared" si="3"/>
        <v>April</v>
      </c>
    </row>
    <row r="13" spans="1:12" x14ac:dyDescent="0.35">
      <c r="A13" s="6">
        <v>45063</v>
      </c>
      <c r="B13" t="s">
        <v>35</v>
      </c>
      <c r="C13" t="s">
        <v>14</v>
      </c>
      <c r="D13" s="5" t="s">
        <v>20</v>
      </c>
      <c r="E13" t="s">
        <v>21</v>
      </c>
      <c r="F13" t="s">
        <v>36</v>
      </c>
      <c r="G13" s="5">
        <v>83382</v>
      </c>
      <c r="H13" s="5">
        <v>9790</v>
      </c>
      <c r="I13" s="5" t="str">
        <f t="shared" si="0"/>
        <v>High Sales</v>
      </c>
      <c r="J13" t="str">
        <f t="shared" si="1"/>
        <v>Good Performance</v>
      </c>
      <c r="K13" s="5">
        <f t="shared" si="2"/>
        <v>2023</v>
      </c>
      <c r="L13" s="5" t="str">
        <f t="shared" si="3"/>
        <v>May</v>
      </c>
    </row>
    <row r="14" spans="1:12" x14ac:dyDescent="0.35">
      <c r="A14" s="6">
        <v>45106</v>
      </c>
      <c r="B14" t="s">
        <v>35</v>
      </c>
      <c r="C14" t="s">
        <v>14</v>
      </c>
      <c r="D14" s="5" t="s">
        <v>37</v>
      </c>
      <c r="E14" t="s">
        <v>38</v>
      </c>
      <c r="F14" t="s">
        <v>39</v>
      </c>
      <c r="G14" s="5">
        <v>41358</v>
      </c>
      <c r="H14" s="5">
        <v>9198</v>
      </c>
      <c r="I14" s="5" t="str">
        <f t="shared" si="0"/>
        <v>Low Sales</v>
      </c>
      <c r="J14" t="str">
        <f t="shared" si="1"/>
        <v>Good Performance</v>
      </c>
      <c r="K14" s="5">
        <f t="shared" si="2"/>
        <v>2023</v>
      </c>
      <c r="L14" s="5" t="str">
        <f t="shared" si="3"/>
        <v>June</v>
      </c>
    </row>
    <row r="15" spans="1:12" x14ac:dyDescent="0.35">
      <c r="A15" s="6">
        <v>45285</v>
      </c>
      <c r="B15" t="s">
        <v>16</v>
      </c>
      <c r="C15" t="s">
        <v>28</v>
      </c>
      <c r="D15" s="5" t="s">
        <v>31</v>
      </c>
      <c r="E15" t="s">
        <v>32</v>
      </c>
      <c r="F15" t="s">
        <v>40</v>
      </c>
      <c r="G15" s="5">
        <v>54807</v>
      </c>
      <c r="H15" s="5">
        <v>9215</v>
      </c>
      <c r="I15" s="5" t="str">
        <f t="shared" si="0"/>
        <v>High Sales</v>
      </c>
      <c r="J15" t="str">
        <f t="shared" si="1"/>
        <v>Good Performance</v>
      </c>
      <c r="K15" s="5">
        <f t="shared" si="2"/>
        <v>2023</v>
      </c>
      <c r="L15" s="5" t="str">
        <f t="shared" si="3"/>
        <v>December</v>
      </c>
    </row>
    <row r="16" spans="1:12" x14ac:dyDescent="0.35">
      <c r="A16" s="6">
        <v>44439</v>
      </c>
      <c r="B16" t="s">
        <v>16</v>
      </c>
      <c r="C16" t="s">
        <v>28</v>
      </c>
      <c r="D16" s="5" t="s">
        <v>23</v>
      </c>
      <c r="E16" t="s">
        <v>24</v>
      </c>
      <c r="F16" t="s">
        <v>41</v>
      </c>
      <c r="G16" s="5">
        <v>55732</v>
      </c>
      <c r="H16" s="5">
        <v>15120</v>
      </c>
      <c r="I16" s="5" t="str">
        <f t="shared" si="0"/>
        <v>High Sales</v>
      </c>
      <c r="J16" t="str">
        <f t="shared" si="1"/>
        <v>Good Performance</v>
      </c>
      <c r="K16" s="5">
        <f t="shared" si="2"/>
        <v>2021</v>
      </c>
      <c r="L16" s="5" t="str">
        <f t="shared" si="3"/>
        <v>August</v>
      </c>
    </row>
    <row r="17" spans="1:12" x14ac:dyDescent="0.35">
      <c r="A17" s="6">
        <v>45071</v>
      </c>
      <c r="B17" t="s">
        <v>8</v>
      </c>
      <c r="C17" t="s">
        <v>14</v>
      </c>
      <c r="D17" s="5" t="s">
        <v>42</v>
      </c>
      <c r="E17" t="s">
        <v>43</v>
      </c>
      <c r="F17" t="s">
        <v>44</v>
      </c>
      <c r="G17" s="5">
        <v>49565</v>
      </c>
      <c r="H17" s="5">
        <v>6310</v>
      </c>
      <c r="I17" s="5" t="str">
        <f t="shared" si="0"/>
        <v>Low Sales</v>
      </c>
      <c r="J17" t="str">
        <f t="shared" si="1"/>
        <v>Good Performance</v>
      </c>
      <c r="K17" s="5">
        <f t="shared" si="2"/>
        <v>2023</v>
      </c>
      <c r="L17" s="5" t="str">
        <f t="shared" si="3"/>
        <v>May</v>
      </c>
    </row>
    <row r="18" spans="1:12" x14ac:dyDescent="0.35">
      <c r="A18" s="6">
        <v>45228</v>
      </c>
      <c r="B18" t="s">
        <v>16</v>
      </c>
      <c r="C18" t="s">
        <v>14</v>
      </c>
      <c r="D18" s="5" t="s">
        <v>10</v>
      </c>
      <c r="E18" t="s">
        <v>11</v>
      </c>
      <c r="F18" t="s">
        <v>45</v>
      </c>
      <c r="G18" s="5">
        <v>39905</v>
      </c>
      <c r="H18" s="5">
        <v>16239</v>
      </c>
      <c r="I18" s="5" t="str">
        <f t="shared" si="0"/>
        <v>Low Sales</v>
      </c>
      <c r="J18" t="str">
        <f t="shared" si="1"/>
        <v>Good Performance</v>
      </c>
      <c r="K18" s="5">
        <f t="shared" si="2"/>
        <v>2023</v>
      </c>
      <c r="L18" s="5" t="str">
        <f t="shared" si="3"/>
        <v>October</v>
      </c>
    </row>
    <row r="19" spans="1:12" x14ac:dyDescent="0.35">
      <c r="A19" s="6">
        <v>45225</v>
      </c>
      <c r="B19" t="s">
        <v>16</v>
      </c>
      <c r="C19" t="s">
        <v>14</v>
      </c>
      <c r="D19" s="5" t="s">
        <v>17</v>
      </c>
      <c r="E19" t="s">
        <v>18</v>
      </c>
      <c r="F19" t="s">
        <v>46</v>
      </c>
      <c r="G19" s="5">
        <v>55157</v>
      </c>
      <c r="H19" s="5">
        <v>8143</v>
      </c>
      <c r="I19" s="5" t="str">
        <f t="shared" si="0"/>
        <v>High Sales</v>
      </c>
      <c r="J19" t="str">
        <f t="shared" si="1"/>
        <v>Good Performance</v>
      </c>
      <c r="K19" s="5">
        <f t="shared" si="2"/>
        <v>2023</v>
      </c>
      <c r="L19" s="5" t="str">
        <f t="shared" si="3"/>
        <v>October</v>
      </c>
    </row>
    <row r="20" spans="1:12" x14ac:dyDescent="0.35">
      <c r="A20" s="6">
        <v>45059</v>
      </c>
      <c r="B20" t="s">
        <v>13</v>
      </c>
      <c r="C20" t="s">
        <v>9</v>
      </c>
      <c r="D20" s="5" t="s">
        <v>20</v>
      </c>
      <c r="E20" t="s">
        <v>21</v>
      </c>
      <c r="F20" t="s">
        <v>47</v>
      </c>
      <c r="G20" s="5">
        <v>37073</v>
      </c>
      <c r="H20" s="5">
        <v>13066</v>
      </c>
      <c r="I20" s="5" t="str">
        <f t="shared" si="0"/>
        <v>Low Sales</v>
      </c>
      <c r="J20" t="str">
        <f t="shared" si="1"/>
        <v>Good Performance</v>
      </c>
      <c r="K20" s="5">
        <f t="shared" si="2"/>
        <v>2023</v>
      </c>
      <c r="L20" s="5" t="str">
        <f t="shared" si="3"/>
        <v>May</v>
      </c>
    </row>
    <row r="21" spans="1:12" x14ac:dyDescent="0.35">
      <c r="A21" s="6">
        <v>44930</v>
      </c>
      <c r="B21" t="s">
        <v>13</v>
      </c>
      <c r="C21" t="s">
        <v>28</v>
      </c>
      <c r="D21" s="5" t="s">
        <v>31</v>
      </c>
      <c r="E21" t="s">
        <v>32</v>
      </c>
      <c r="F21" t="s">
        <v>48</v>
      </c>
      <c r="G21" s="5">
        <v>45477</v>
      </c>
      <c r="H21" s="5">
        <v>17744</v>
      </c>
      <c r="I21" s="5" t="str">
        <f t="shared" si="0"/>
        <v>Low Sales</v>
      </c>
      <c r="J21" t="str">
        <f t="shared" si="1"/>
        <v>Good Performance</v>
      </c>
      <c r="K21" s="5">
        <f t="shared" si="2"/>
        <v>2023</v>
      </c>
      <c r="L21" s="5" t="str">
        <f t="shared" si="3"/>
        <v>January</v>
      </c>
    </row>
    <row r="22" spans="1:12" x14ac:dyDescent="0.35">
      <c r="A22" s="6">
        <v>45222</v>
      </c>
      <c r="B22" t="s">
        <v>16</v>
      </c>
      <c r="C22" t="s">
        <v>14</v>
      </c>
      <c r="D22" s="5" t="s">
        <v>42</v>
      </c>
      <c r="E22" t="s">
        <v>43</v>
      </c>
      <c r="F22" t="s">
        <v>49</v>
      </c>
      <c r="G22" s="5">
        <v>66233</v>
      </c>
      <c r="H22" s="5">
        <v>10713</v>
      </c>
      <c r="I22" s="5" t="str">
        <f t="shared" si="0"/>
        <v>High Sales</v>
      </c>
      <c r="J22" t="str">
        <f t="shared" si="1"/>
        <v>Good Performance</v>
      </c>
      <c r="K22" s="5">
        <f t="shared" si="2"/>
        <v>2023</v>
      </c>
      <c r="L22" s="5" t="str">
        <f t="shared" si="3"/>
        <v>October</v>
      </c>
    </row>
    <row r="23" spans="1:12" x14ac:dyDescent="0.35">
      <c r="A23" s="6">
        <v>45040</v>
      </c>
      <c r="B23" t="s">
        <v>8</v>
      </c>
      <c r="C23" t="s">
        <v>28</v>
      </c>
      <c r="D23" s="5" t="s">
        <v>42</v>
      </c>
      <c r="E23" t="s">
        <v>43</v>
      </c>
      <c r="F23" t="s">
        <v>50</v>
      </c>
      <c r="G23" s="5">
        <v>28743</v>
      </c>
      <c r="H23" s="5">
        <v>5562</v>
      </c>
      <c r="I23" s="5" t="str">
        <f t="shared" si="0"/>
        <v>Low Sales</v>
      </c>
      <c r="J23" t="str">
        <f t="shared" si="1"/>
        <v>Needs Improvement</v>
      </c>
      <c r="K23" s="5">
        <f t="shared" si="2"/>
        <v>2023</v>
      </c>
      <c r="L23" s="5" t="str">
        <f t="shared" si="3"/>
        <v>April</v>
      </c>
    </row>
    <row r="24" spans="1:12" x14ac:dyDescent="0.35">
      <c r="A24" s="6">
        <v>45024</v>
      </c>
      <c r="B24" t="s">
        <v>16</v>
      </c>
      <c r="C24" t="s">
        <v>9</v>
      </c>
      <c r="D24" s="5" t="s">
        <v>10</v>
      </c>
      <c r="E24" t="s">
        <v>145</v>
      </c>
      <c r="F24" t="s">
        <v>51</v>
      </c>
      <c r="G24" s="5">
        <v>70083</v>
      </c>
      <c r="H24" s="5">
        <v>17048</v>
      </c>
      <c r="I24" s="5" t="str">
        <f t="shared" si="0"/>
        <v>High Sales</v>
      </c>
      <c r="J24" t="str">
        <f t="shared" si="1"/>
        <v>Good Performance</v>
      </c>
      <c r="K24" s="5">
        <f t="shared" si="2"/>
        <v>2023</v>
      </c>
      <c r="L24" s="5" t="str">
        <f t="shared" si="3"/>
        <v>April</v>
      </c>
    </row>
    <row r="25" spans="1:12" x14ac:dyDescent="0.35">
      <c r="A25" s="6">
        <v>44977</v>
      </c>
      <c r="B25" t="s">
        <v>35</v>
      </c>
      <c r="C25" t="s">
        <v>28</v>
      </c>
      <c r="D25" s="5" t="s">
        <v>37</v>
      </c>
      <c r="E25" t="s">
        <v>38</v>
      </c>
      <c r="F25" t="s">
        <v>52</v>
      </c>
      <c r="G25" s="5">
        <v>64850</v>
      </c>
      <c r="H25" s="5">
        <v>17675</v>
      </c>
      <c r="I25" s="5" t="str">
        <f t="shared" si="0"/>
        <v>High Sales</v>
      </c>
      <c r="J25" t="str">
        <f t="shared" si="1"/>
        <v>Good Performance</v>
      </c>
      <c r="K25" s="5">
        <f t="shared" si="2"/>
        <v>2023</v>
      </c>
      <c r="L25" s="5" t="str">
        <f t="shared" si="3"/>
        <v>February</v>
      </c>
    </row>
    <row r="26" spans="1:12" x14ac:dyDescent="0.35">
      <c r="A26" s="6">
        <v>45138</v>
      </c>
      <c r="B26" t="s">
        <v>35</v>
      </c>
      <c r="C26" t="s">
        <v>14</v>
      </c>
      <c r="D26" s="5" t="s">
        <v>20</v>
      </c>
      <c r="E26" t="s">
        <v>21</v>
      </c>
      <c r="F26" t="s">
        <v>53</v>
      </c>
      <c r="G26" s="5">
        <v>13298</v>
      </c>
      <c r="H26" s="5">
        <v>9334</v>
      </c>
      <c r="I26" s="5" t="str">
        <f t="shared" si="0"/>
        <v>Low Sales</v>
      </c>
      <c r="J26" t="str">
        <f t="shared" si="1"/>
        <v>Needs Improvement</v>
      </c>
      <c r="K26" s="5">
        <f t="shared" si="2"/>
        <v>2023</v>
      </c>
      <c r="L26" s="5" t="str">
        <f t="shared" si="3"/>
        <v>July</v>
      </c>
    </row>
    <row r="27" spans="1:12" x14ac:dyDescent="0.35">
      <c r="A27" s="6">
        <v>45081</v>
      </c>
      <c r="B27" t="s">
        <v>13</v>
      </c>
      <c r="C27" t="s">
        <v>28</v>
      </c>
      <c r="D27" s="5" t="s">
        <v>37</v>
      </c>
      <c r="E27" t="s">
        <v>38</v>
      </c>
      <c r="F27" t="s">
        <v>54</v>
      </c>
      <c r="G27" s="5">
        <v>34510</v>
      </c>
      <c r="H27" s="5">
        <v>9045</v>
      </c>
      <c r="I27" s="5" t="str">
        <f t="shared" si="0"/>
        <v>Low Sales</v>
      </c>
      <c r="J27" t="str">
        <f t="shared" si="1"/>
        <v>Good Performance</v>
      </c>
      <c r="K27" s="5">
        <f t="shared" si="2"/>
        <v>2023</v>
      </c>
      <c r="L27" s="5" t="str">
        <f t="shared" si="3"/>
        <v>June</v>
      </c>
    </row>
    <row r="28" spans="1:12" x14ac:dyDescent="0.35">
      <c r="A28" s="6">
        <v>45177</v>
      </c>
      <c r="B28" t="s">
        <v>13</v>
      </c>
      <c r="C28" t="s">
        <v>28</v>
      </c>
      <c r="D28" s="5" t="s">
        <v>17</v>
      </c>
      <c r="E28" t="s">
        <v>18</v>
      </c>
      <c r="F28" t="s">
        <v>55</v>
      </c>
      <c r="G28" s="5">
        <v>81351</v>
      </c>
      <c r="H28" s="5">
        <v>3400</v>
      </c>
      <c r="I28" s="5" t="str">
        <f t="shared" si="0"/>
        <v>High Sales</v>
      </c>
      <c r="J28" t="str">
        <f t="shared" si="1"/>
        <v>Needs Improvement</v>
      </c>
      <c r="K28" s="5">
        <f t="shared" si="2"/>
        <v>2023</v>
      </c>
      <c r="L28" s="5" t="str">
        <f t="shared" si="3"/>
        <v>September</v>
      </c>
    </row>
    <row r="29" spans="1:12" x14ac:dyDescent="0.35">
      <c r="A29" s="6">
        <v>45008</v>
      </c>
      <c r="B29" t="s">
        <v>35</v>
      </c>
      <c r="C29" t="s">
        <v>9</v>
      </c>
      <c r="D29" s="5" t="s">
        <v>20</v>
      </c>
      <c r="E29" t="s">
        <v>21</v>
      </c>
      <c r="F29" t="s">
        <v>56</v>
      </c>
      <c r="G29" s="5">
        <v>27968</v>
      </c>
      <c r="H29" s="5">
        <v>5207</v>
      </c>
      <c r="I29" s="5" t="str">
        <f t="shared" si="0"/>
        <v>Low Sales</v>
      </c>
      <c r="J29" t="str">
        <f t="shared" si="1"/>
        <v>Needs Improvement</v>
      </c>
      <c r="K29" s="5">
        <f t="shared" si="2"/>
        <v>2023</v>
      </c>
      <c r="L29" s="5" t="str">
        <f t="shared" si="3"/>
        <v>March</v>
      </c>
    </row>
    <row r="30" spans="1:12" x14ac:dyDescent="0.35">
      <c r="A30" s="6">
        <v>45513</v>
      </c>
      <c r="B30" t="s">
        <v>16</v>
      </c>
      <c r="C30" t="s">
        <v>9</v>
      </c>
      <c r="D30" s="5" t="s">
        <v>23</v>
      </c>
      <c r="E30" t="s">
        <v>24</v>
      </c>
      <c r="F30" t="s">
        <v>57</v>
      </c>
      <c r="G30" s="5">
        <v>72128</v>
      </c>
      <c r="H30" s="5">
        <v>10070</v>
      </c>
      <c r="I30" s="5" t="str">
        <f t="shared" si="0"/>
        <v>High Sales</v>
      </c>
      <c r="J30" t="str">
        <f t="shared" si="1"/>
        <v>Good Performance</v>
      </c>
      <c r="K30" s="5">
        <f t="shared" si="2"/>
        <v>2024</v>
      </c>
      <c r="L30" s="5" t="str">
        <f t="shared" si="3"/>
        <v>August</v>
      </c>
    </row>
    <row r="31" spans="1:12" x14ac:dyDescent="0.35">
      <c r="A31" s="6">
        <v>45047</v>
      </c>
      <c r="B31" t="s">
        <v>35</v>
      </c>
      <c r="C31" t="s">
        <v>9</v>
      </c>
      <c r="D31" s="5" t="s">
        <v>20</v>
      </c>
      <c r="E31" t="s">
        <v>21</v>
      </c>
      <c r="F31" t="s">
        <v>58</v>
      </c>
      <c r="G31" s="5">
        <v>91106</v>
      </c>
      <c r="H31" s="5">
        <v>17842</v>
      </c>
      <c r="I31" s="5" t="str">
        <f t="shared" si="0"/>
        <v>High Sales</v>
      </c>
      <c r="J31" t="str">
        <f t="shared" si="1"/>
        <v>Good Performance</v>
      </c>
      <c r="K31" s="5">
        <f t="shared" si="2"/>
        <v>2023</v>
      </c>
      <c r="L31" s="5" t="str">
        <f t="shared" si="3"/>
        <v>May</v>
      </c>
    </row>
    <row r="32" spans="1:12" x14ac:dyDescent="0.35">
      <c r="A32" s="6">
        <v>45138</v>
      </c>
      <c r="B32" t="s">
        <v>13</v>
      </c>
      <c r="C32" t="s">
        <v>9</v>
      </c>
      <c r="D32" s="5" t="s">
        <v>31</v>
      </c>
      <c r="E32" t="s">
        <v>32</v>
      </c>
      <c r="F32" t="s">
        <v>59</v>
      </c>
      <c r="G32" s="5">
        <v>63964</v>
      </c>
      <c r="H32" s="5">
        <v>4828</v>
      </c>
      <c r="I32" s="5" t="str">
        <f t="shared" si="0"/>
        <v>High Sales</v>
      </c>
      <c r="J32" t="str">
        <f t="shared" si="1"/>
        <v>Needs Improvement</v>
      </c>
      <c r="K32" s="5">
        <f t="shared" si="2"/>
        <v>2023</v>
      </c>
      <c r="L32" s="5" t="str">
        <f t="shared" si="3"/>
        <v>July</v>
      </c>
    </row>
    <row r="33" spans="1:12" x14ac:dyDescent="0.35">
      <c r="A33" s="6">
        <v>45038</v>
      </c>
      <c r="B33" t="s">
        <v>16</v>
      </c>
      <c r="C33" t="s">
        <v>28</v>
      </c>
      <c r="D33" s="5" t="s">
        <v>37</v>
      </c>
      <c r="E33" t="s">
        <v>38</v>
      </c>
      <c r="F33" t="s">
        <v>60</v>
      </c>
      <c r="G33" s="5">
        <v>32570</v>
      </c>
      <c r="H33" s="5">
        <v>2830</v>
      </c>
      <c r="I33" s="5" t="str">
        <f t="shared" si="0"/>
        <v>Low Sales</v>
      </c>
      <c r="J33" t="str">
        <f t="shared" si="1"/>
        <v>Needs Improvement</v>
      </c>
      <c r="K33" s="5">
        <f t="shared" si="2"/>
        <v>2023</v>
      </c>
      <c r="L33" s="5" t="str">
        <f t="shared" si="3"/>
        <v>April</v>
      </c>
    </row>
    <row r="34" spans="1:12" x14ac:dyDescent="0.35">
      <c r="A34" s="6">
        <v>45219</v>
      </c>
      <c r="B34" t="s">
        <v>35</v>
      </c>
      <c r="C34" t="s">
        <v>28</v>
      </c>
      <c r="D34" s="5" t="s">
        <v>37</v>
      </c>
      <c r="E34" t="s">
        <v>38</v>
      </c>
      <c r="F34" t="s">
        <v>61</v>
      </c>
      <c r="G34" s="5">
        <v>68439</v>
      </c>
      <c r="H34" s="5">
        <v>5352</v>
      </c>
      <c r="I34" s="5" t="str">
        <f t="shared" si="0"/>
        <v>High Sales</v>
      </c>
      <c r="J34" t="str">
        <f t="shared" si="1"/>
        <v>Good Performance</v>
      </c>
      <c r="K34" s="5">
        <f t="shared" si="2"/>
        <v>2023</v>
      </c>
      <c r="L34" s="5" t="str">
        <f t="shared" si="3"/>
        <v>October</v>
      </c>
    </row>
    <row r="35" spans="1:12" x14ac:dyDescent="0.35">
      <c r="A35" s="6">
        <v>45051</v>
      </c>
      <c r="B35" t="s">
        <v>8</v>
      </c>
      <c r="C35" t="s">
        <v>28</v>
      </c>
      <c r="D35" s="5" t="s">
        <v>23</v>
      </c>
      <c r="E35" t="s">
        <v>24</v>
      </c>
      <c r="F35" t="s">
        <v>62</v>
      </c>
      <c r="G35" s="5">
        <v>58635</v>
      </c>
      <c r="H35" s="5">
        <v>2619</v>
      </c>
      <c r="I35" s="5" t="str">
        <f t="shared" si="0"/>
        <v>High Sales</v>
      </c>
      <c r="J35" t="str">
        <f t="shared" si="1"/>
        <v>Needs Improvement</v>
      </c>
      <c r="K35" s="5">
        <f t="shared" si="2"/>
        <v>2023</v>
      </c>
      <c r="L35" s="5" t="str">
        <f t="shared" si="3"/>
        <v>May</v>
      </c>
    </row>
    <row r="36" spans="1:12" x14ac:dyDescent="0.35">
      <c r="A36" s="6">
        <v>45137</v>
      </c>
      <c r="B36" t="s">
        <v>13</v>
      </c>
      <c r="C36" t="s">
        <v>28</v>
      </c>
      <c r="D36" s="5" t="s">
        <v>23</v>
      </c>
      <c r="E36" t="s">
        <v>24</v>
      </c>
      <c r="F36" t="s">
        <v>63</v>
      </c>
      <c r="G36" s="5">
        <v>43774</v>
      </c>
      <c r="H36" s="5">
        <v>9572</v>
      </c>
      <c r="I36" s="5" t="str">
        <f t="shared" si="0"/>
        <v>Low Sales</v>
      </c>
      <c r="J36" t="str">
        <f t="shared" si="1"/>
        <v>Good Performance</v>
      </c>
      <c r="K36" s="5">
        <f t="shared" si="2"/>
        <v>2023</v>
      </c>
      <c r="L36" s="5" t="str">
        <f t="shared" si="3"/>
        <v>July</v>
      </c>
    </row>
    <row r="37" spans="1:12" x14ac:dyDescent="0.35">
      <c r="A37" s="6">
        <v>45217</v>
      </c>
      <c r="B37" t="s">
        <v>8</v>
      </c>
      <c r="C37" t="s">
        <v>14</v>
      </c>
      <c r="D37" s="5" t="s">
        <v>31</v>
      </c>
      <c r="E37" t="s">
        <v>32</v>
      </c>
      <c r="F37" t="s">
        <v>64</v>
      </c>
      <c r="G37" s="5">
        <v>26586</v>
      </c>
      <c r="H37" s="5">
        <v>12360</v>
      </c>
      <c r="I37" s="5" t="str">
        <f t="shared" si="0"/>
        <v>Low Sales</v>
      </c>
      <c r="J37" t="str">
        <f t="shared" si="1"/>
        <v>Needs Improvement</v>
      </c>
      <c r="K37" s="5">
        <f t="shared" si="2"/>
        <v>2023</v>
      </c>
      <c r="L37" s="5" t="str">
        <f t="shared" si="3"/>
        <v>October</v>
      </c>
    </row>
    <row r="38" spans="1:12" x14ac:dyDescent="0.35">
      <c r="A38" s="6">
        <v>45066</v>
      </c>
      <c r="B38" t="s">
        <v>8</v>
      </c>
      <c r="C38" t="s">
        <v>28</v>
      </c>
      <c r="D38" s="5" t="s">
        <v>20</v>
      </c>
      <c r="E38" t="s">
        <v>21</v>
      </c>
      <c r="F38" t="s">
        <v>65</v>
      </c>
      <c r="G38" s="5">
        <v>25493</v>
      </c>
      <c r="H38" s="5">
        <v>12383</v>
      </c>
      <c r="I38" s="5" t="str">
        <f t="shared" si="0"/>
        <v>Low Sales</v>
      </c>
      <c r="J38" t="str">
        <f t="shared" si="1"/>
        <v>Needs Improvement</v>
      </c>
      <c r="K38" s="5">
        <f t="shared" si="2"/>
        <v>2023</v>
      </c>
      <c r="L38" s="5" t="str">
        <f t="shared" si="3"/>
        <v>May</v>
      </c>
    </row>
    <row r="39" spans="1:12" x14ac:dyDescent="0.35">
      <c r="A39" s="6">
        <v>45081</v>
      </c>
      <c r="B39" t="s">
        <v>13</v>
      </c>
      <c r="C39" t="s">
        <v>28</v>
      </c>
      <c r="D39" s="5" t="s">
        <v>20</v>
      </c>
      <c r="E39" t="s">
        <v>21</v>
      </c>
      <c r="F39" t="s">
        <v>66</v>
      </c>
      <c r="G39" s="5">
        <v>23912</v>
      </c>
      <c r="H39" s="5">
        <v>8928</v>
      </c>
      <c r="I39" s="5" t="str">
        <f t="shared" si="0"/>
        <v>Low Sales</v>
      </c>
      <c r="J39" t="str">
        <f t="shared" si="1"/>
        <v>Needs Improvement</v>
      </c>
      <c r="K39" s="5">
        <f t="shared" si="2"/>
        <v>2023</v>
      </c>
      <c r="L39" s="5" t="str">
        <f t="shared" si="3"/>
        <v>June</v>
      </c>
    </row>
    <row r="40" spans="1:12" x14ac:dyDescent="0.35">
      <c r="A40" s="6">
        <v>45278</v>
      </c>
      <c r="B40" t="s">
        <v>13</v>
      </c>
      <c r="C40" t="s">
        <v>9</v>
      </c>
      <c r="D40" s="5" t="s">
        <v>42</v>
      </c>
      <c r="E40" t="s">
        <v>43</v>
      </c>
      <c r="F40" t="s">
        <v>67</v>
      </c>
      <c r="G40" s="5">
        <v>91891</v>
      </c>
      <c r="H40" s="5">
        <v>3668</v>
      </c>
      <c r="I40" s="5" t="str">
        <f t="shared" si="0"/>
        <v>High Sales</v>
      </c>
      <c r="J40" t="str">
        <f t="shared" si="1"/>
        <v>Needs Improvement</v>
      </c>
      <c r="K40" s="5">
        <f t="shared" si="2"/>
        <v>2023</v>
      </c>
      <c r="L40" s="5" t="str">
        <f t="shared" si="3"/>
        <v>December</v>
      </c>
    </row>
    <row r="41" spans="1:12" x14ac:dyDescent="0.35">
      <c r="A41" s="6">
        <v>45274</v>
      </c>
      <c r="B41" t="s">
        <v>16</v>
      </c>
      <c r="C41" t="s">
        <v>28</v>
      </c>
      <c r="D41" s="5" t="s">
        <v>31</v>
      </c>
      <c r="E41" t="s">
        <v>32</v>
      </c>
      <c r="F41" t="s">
        <v>68</v>
      </c>
      <c r="G41" s="5">
        <v>90365</v>
      </c>
      <c r="H41" s="5">
        <v>15535</v>
      </c>
      <c r="I41" s="5" t="str">
        <f t="shared" si="0"/>
        <v>High Sales</v>
      </c>
      <c r="J41" t="str">
        <f t="shared" si="1"/>
        <v>Good Performance</v>
      </c>
      <c r="K41" s="5">
        <f t="shared" si="2"/>
        <v>2023</v>
      </c>
      <c r="L41" s="5" t="str">
        <f t="shared" si="3"/>
        <v>December</v>
      </c>
    </row>
    <row r="42" spans="1:12" x14ac:dyDescent="0.35">
      <c r="A42" s="6">
        <v>45180</v>
      </c>
      <c r="B42" t="s">
        <v>8</v>
      </c>
      <c r="C42" t="s">
        <v>28</v>
      </c>
      <c r="D42" s="5" t="s">
        <v>23</v>
      </c>
      <c r="E42" t="s">
        <v>24</v>
      </c>
      <c r="F42" t="s">
        <v>69</v>
      </c>
      <c r="G42" s="5">
        <v>7042</v>
      </c>
      <c r="H42" s="5">
        <v>2080</v>
      </c>
      <c r="I42" s="5" t="str">
        <f t="shared" si="0"/>
        <v>Low Sales</v>
      </c>
      <c r="J42" t="str">
        <f t="shared" si="1"/>
        <v>Needs Improvement</v>
      </c>
      <c r="K42" s="5">
        <f t="shared" si="2"/>
        <v>2023</v>
      </c>
      <c r="L42" s="5" t="str">
        <f t="shared" si="3"/>
        <v>September</v>
      </c>
    </row>
    <row r="43" spans="1:12" x14ac:dyDescent="0.35">
      <c r="A43" s="6">
        <v>45021</v>
      </c>
      <c r="B43" t="s">
        <v>16</v>
      </c>
      <c r="C43" t="s">
        <v>14</v>
      </c>
      <c r="D43" s="5" t="s">
        <v>37</v>
      </c>
      <c r="E43" t="s">
        <v>38</v>
      </c>
      <c r="F43" t="s">
        <v>70</v>
      </c>
      <c r="G43" s="5">
        <v>60130</v>
      </c>
      <c r="H43" s="5">
        <v>13353</v>
      </c>
      <c r="I43" s="5" t="str">
        <f t="shared" si="0"/>
        <v>High Sales</v>
      </c>
      <c r="J43" t="str">
        <f t="shared" si="1"/>
        <v>Good Performance</v>
      </c>
      <c r="K43" s="5">
        <f t="shared" si="2"/>
        <v>2023</v>
      </c>
      <c r="L43" s="5" t="str">
        <f t="shared" si="3"/>
        <v>April</v>
      </c>
    </row>
    <row r="44" spans="1:12" x14ac:dyDescent="0.35">
      <c r="A44" s="6">
        <v>45283</v>
      </c>
      <c r="B44" t="s">
        <v>8</v>
      </c>
      <c r="C44" t="s">
        <v>14</v>
      </c>
      <c r="D44" s="5" t="s">
        <v>23</v>
      </c>
      <c r="E44" t="s">
        <v>24</v>
      </c>
      <c r="F44" t="s">
        <v>71</v>
      </c>
      <c r="G44" s="5">
        <v>90179</v>
      </c>
      <c r="H44" s="5">
        <v>6729</v>
      </c>
      <c r="I44" s="5" t="str">
        <f t="shared" si="0"/>
        <v>High Sales</v>
      </c>
      <c r="J44" t="str">
        <f t="shared" si="1"/>
        <v>Good Performance</v>
      </c>
      <c r="K44" s="5">
        <f t="shared" si="2"/>
        <v>2023</v>
      </c>
      <c r="L44" s="5" t="str">
        <f t="shared" si="3"/>
        <v>December</v>
      </c>
    </row>
    <row r="45" spans="1:12" x14ac:dyDescent="0.35">
      <c r="A45" s="6">
        <v>45092</v>
      </c>
      <c r="B45" t="s">
        <v>13</v>
      </c>
      <c r="C45" t="s">
        <v>9</v>
      </c>
      <c r="D45" s="5" t="s">
        <v>20</v>
      </c>
      <c r="E45" t="s">
        <v>21</v>
      </c>
      <c r="F45" t="s">
        <v>72</v>
      </c>
      <c r="G45" s="5">
        <v>25588</v>
      </c>
      <c r="H45" s="5">
        <v>10859</v>
      </c>
      <c r="I45" s="5" t="str">
        <f t="shared" si="0"/>
        <v>Low Sales</v>
      </c>
      <c r="J45" t="str">
        <f t="shared" si="1"/>
        <v>Needs Improvement</v>
      </c>
      <c r="K45" s="5">
        <f t="shared" si="2"/>
        <v>2023</v>
      </c>
      <c r="L45" s="5" t="str">
        <f t="shared" si="3"/>
        <v>June</v>
      </c>
    </row>
    <row r="46" spans="1:12" x14ac:dyDescent="0.35">
      <c r="A46" s="6">
        <v>44984</v>
      </c>
      <c r="B46" t="s">
        <v>35</v>
      </c>
      <c r="C46" t="s">
        <v>14</v>
      </c>
      <c r="D46" s="5" t="s">
        <v>42</v>
      </c>
      <c r="E46" t="s">
        <v>43</v>
      </c>
      <c r="F46" t="s">
        <v>73</v>
      </c>
      <c r="G46" s="5">
        <v>57221</v>
      </c>
      <c r="H46" s="5">
        <v>5906</v>
      </c>
      <c r="I46" s="5" t="str">
        <f t="shared" si="0"/>
        <v>High Sales</v>
      </c>
      <c r="J46" t="str">
        <f t="shared" si="1"/>
        <v>Good Performance</v>
      </c>
      <c r="K46" s="5">
        <f t="shared" si="2"/>
        <v>2023</v>
      </c>
      <c r="L46" s="5" t="str">
        <f t="shared" si="3"/>
        <v>February</v>
      </c>
    </row>
    <row r="47" spans="1:12" x14ac:dyDescent="0.35">
      <c r="A47" s="6">
        <v>44973</v>
      </c>
      <c r="B47" t="s">
        <v>35</v>
      </c>
      <c r="C47" t="s">
        <v>28</v>
      </c>
      <c r="D47" s="5" t="s">
        <v>23</v>
      </c>
      <c r="E47" t="s">
        <v>24</v>
      </c>
      <c r="F47" t="s">
        <v>74</v>
      </c>
      <c r="G47" s="5">
        <v>8658</v>
      </c>
      <c r="H47" s="5">
        <v>17186</v>
      </c>
      <c r="I47" s="5" t="str">
        <f t="shared" si="0"/>
        <v>Low Sales</v>
      </c>
      <c r="J47" t="str">
        <f t="shared" si="1"/>
        <v>Needs Improvement</v>
      </c>
      <c r="K47" s="5">
        <f t="shared" si="2"/>
        <v>2023</v>
      </c>
      <c r="L47" s="5" t="str">
        <f t="shared" si="3"/>
        <v>February</v>
      </c>
    </row>
    <row r="48" spans="1:12" x14ac:dyDescent="0.35">
      <c r="A48" s="6">
        <v>45225</v>
      </c>
      <c r="B48" t="s">
        <v>35</v>
      </c>
      <c r="C48" t="s">
        <v>14</v>
      </c>
      <c r="D48" s="5" t="s">
        <v>42</v>
      </c>
      <c r="E48" t="s">
        <v>43</v>
      </c>
      <c r="F48" t="s">
        <v>75</v>
      </c>
      <c r="G48" s="5">
        <v>40583</v>
      </c>
      <c r="H48" s="5">
        <v>3007</v>
      </c>
      <c r="I48" s="5" t="str">
        <f t="shared" si="0"/>
        <v>Low Sales</v>
      </c>
      <c r="J48" t="str">
        <f t="shared" si="1"/>
        <v>Needs Improvement</v>
      </c>
      <c r="K48" s="5">
        <f t="shared" si="2"/>
        <v>2023</v>
      </c>
      <c r="L48" s="5" t="str">
        <f t="shared" si="3"/>
        <v>October</v>
      </c>
    </row>
    <row r="49" spans="1:12" x14ac:dyDescent="0.35">
      <c r="A49" s="6">
        <v>45216</v>
      </c>
      <c r="B49" t="s">
        <v>35</v>
      </c>
      <c r="C49" t="s">
        <v>28</v>
      </c>
      <c r="D49" s="5" t="s">
        <v>23</v>
      </c>
      <c r="E49" t="s">
        <v>24</v>
      </c>
      <c r="F49" t="s">
        <v>76</v>
      </c>
      <c r="G49" s="5">
        <v>54644</v>
      </c>
      <c r="H49" s="5">
        <v>12573</v>
      </c>
      <c r="I49" s="5" t="str">
        <f t="shared" si="0"/>
        <v>High Sales</v>
      </c>
      <c r="J49" t="str">
        <f t="shared" si="1"/>
        <v>Good Performance</v>
      </c>
      <c r="K49" s="5">
        <f t="shared" si="2"/>
        <v>2023</v>
      </c>
      <c r="L49" s="5" t="str">
        <f t="shared" si="3"/>
        <v>October</v>
      </c>
    </row>
    <row r="50" spans="1:12" x14ac:dyDescent="0.35">
      <c r="A50" s="6">
        <v>45095</v>
      </c>
      <c r="B50" t="s">
        <v>8</v>
      </c>
      <c r="C50" t="s">
        <v>9</v>
      </c>
      <c r="D50" s="5" t="s">
        <v>42</v>
      </c>
      <c r="E50" t="s">
        <v>43</v>
      </c>
      <c r="F50" t="s">
        <v>77</v>
      </c>
      <c r="G50" s="5">
        <v>21130</v>
      </c>
      <c r="H50" s="5">
        <v>7026</v>
      </c>
      <c r="I50" s="5" t="str">
        <f t="shared" si="0"/>
        <v>Low Sales</v>
      </c>
      <c r="J50" t="str">
        <f t="shared" si="1"/>
        <v>Needs Improvement</v>
      </c>
      <c r="K50" s="5">
        <f t="shared" si="2"/>
        <v>2023</v>
      </c>
      <c r="L50" s="5" t="str">
        <f t="shared" si="3"/>
        <v>June</v>
      </c>
    </row>
    <row r="51" spans="1:12" x14ac:dyDescent="0.35">
      <c r="A51" s="6">
        <v>45017</v>
      </c>
      <c r="B51" t="s">
        <v>8</v>
      </c>
      <c r="C51" t="s">
        <v>28</v>
      </c>
      <c r="D51" s="5" t="s">
        <v>37</v>
      </c>
      <c r="E51" t="s">
        <v>38</v>
      </c>
      <c r="F51" t="s">
        <v>78</v>
      </c>
      <c r="G51" s="5">
        <v>54009</v>
      </c>
      <c r="H51" s="5">
        <v>15783</v>
      </c>
      <c r="I51" s="5" t="str">
        <f t="shared" si="0"/>
        <v>High Sales</v>
      </c>
      <c r="J51" t="str">
        <f t="shared" si="1"/>
        <v>Good Performance</v>
      </c>
      <c r="K51" s="5">
        <f t="shared" si="2"/>
        <v>2023</v>
      </c>
      <c r="L51" s="5" t="str">
        <f t="shared" si="3"/>
        <v>April</v>
      </c>
    </row>
    <row r="52" spans="1:12" x14ac:dyDescent="0.35">
      <c r="A52" s="6">
        <v>44638</v>
      </c>
      <c r="B52" t="s">
        <v>8</v>
      </c>
      <c r="C52" t="s">
        <v>14</v>
      </c>
      <c r="D52" s="5" t="s">
        <v>31</v>
      </c>
      <c r="E52" t="s">
        <v>32</v>
      </c>
      <c r="F52" t="s">
        <v>79</v>
      </c>
      <c r="G52" s="5">
        <v>51167</v>
      </c>
      <c r="H52" s="5">
        <v>8571</v>
      </c>
      <c r="I52" s="5" t="str">
        <f t="shared" si="0"/>
        <v>High Sales</v>
      </c>
      <c r="J52" t="str">
        <f t="shared" si="1"/>
        <v>Good Performance</v>
      </c>
      <c r="K52" s="5">
        <f t="shared" si="2"/>
        <v>2022</v>
      </c>
      <c r="L52" s="5" t="str">
        <f t="shared" si="3"/>
        <v>March</v>
      </c>
    </row>
    <row r="53" spans="1:12" x14ac:dyDescent="0.35">
      <c r="A53" s="6">
        <v>44977</v>
      </c>
      <c r="B53" t="s">
        <v>13</v>
      </c>
      <c r="C53" t="s">
        <v>14</v>
      </c>
      <c r="D53" s="5" t="s">
        <v>10</v>
      </c>
      <c r="E53" t="s">
        <v>11</v>
      </c>
      <c r="F53" t="s">
        <v>80</v>
      </c>
      <c r="G53" s="5">
        <v>74015</v>
      </c>
      <c r="H53" s="5">
        <v>15368</v>
      </c>
      <c r="I53" s="5" t="str">
        <f t="shared" si="0"/>
        <v>High Sales</v>
      </c>
      <c r="J53" t="str">
        <f t="shared" si="1"/>
        <v>Good Performance</v>
      </c>
      <c r="K53" s="5">
        <f t="shared" si="2"/>
        <v>2023</v>
      </c>
      <c r="L53" s="5" t="str">
        <f t="shared" si="3"/>
        <v>February</v>
      </c>
    </row>
    <row r="54" spans="1:12" x14ac:dyDescent="0.35">
      <c r="A54" s="6">
        <v>45254</v>
      </c>
      <c r="B54" t="s">
        <v>8</v>
      </c>
      <c r="C54" t="s">
        <v>14</v>
      </c>
      <c r="D54" s="5" t="s">
        <v>23</v>
      </c>
      <c r="E54" t="s">
        <v>24</v>
      </c>
      <c r="F54" t="s">
        <v>81</v>
      </c>
      <c r="G54" s="5">
        <v>27543</v>
      </c>
      <c r="H54" s="5">
        <v>13368</v>
      </c>
      <c r="I54" s="5" t="str">
        <f t="shared" si="0"/>
        <v>Low Sales</v>
      </c>
      <c r="J54" t="str">
        <f t="shared" si="1"/>
        <v>Needs Improvement</v>
      </c>
      <c r="K54" s="5">
        <f t="shared" si="2"/>
        <v>2023</v>
      </c>
      <c r="L54" s="5" t="str">
        <f t="shared" si="3"/>
        <v>November</v>
      </c>
    </row>
    <row r="55" spans="1:12" x14ac:dyDescent="0.35">
      <c r="A55" s="6">
        <v>45196</v>
      </c>
      <c r="B55" t="s">
        <v>8</v>
      </c>
      <c r="C55" t="s">
        <v>28</v>
      </c>
      <c r="D55" s="5" t="s">
        <v>42</v>
      </c>
      <c r="E55" t="s">
        <v>43</v>
      </c>
      <c r="F55" t="s">
        <v>82</v>
      </c>
      <c r="G55" s="5">
        <v>56793</v>
      </c>
      <c r="H55" s="5">
        <v>13520</v>
      </c>
      <c r="I55" s="5" t="str">
        <f t="shared" si="0"/>
        <v>High Sales</v>
      </c>
      <c r="J55" t="str">
        <f t="shared" si="1"/>
        <v>Good Performance</v>
      </c>
      <c r="K55" s="5">
        <f t="shared" si="2"/>
        <v>2023</v>
      </c>
      <c r="L55" s="5" t="str">
        <f t="shared" si="3"/>
        <v>September</v>
      </c>
    </row>
    <row r="56" spans="1:12" x14ac:dyDescent="0.35">
      <c r="A56" s="6">
        <v>44952</v>
      </c>
      <c r="B56" t="s">
        <v>35</v>
      </c>
      <c r="C56" t="s">
        <v>9</v>
      </c>
      <c r="D56" s="5" t="s">
        <v>23</v>
      </c>
      <c r="E56" t="s">
        <v>24</v>
      </c>
      <c r="F56" t="s">
        <v>83</v>
      </c>
      <c r="G56" s="5">
        <v>32933</v>
      </c>
      <c r="H56" s="5">
        <v>4346</v>
      </c>
      <c r="I56" s="5" t="str">
        <f t="shared" si="0"/>
        <v>Low Sales</v>
      </c>
      <c r="J56" t="str">
        <f t="shared" si="1"/>
        <v>Needs Improvement</v>
      </c>
      <c r="K56" s="5">
        <f t="shared" si="2"/>
        <v>2023</v>
      </c>
      <c r="L56" s="5" t="str">
        <f t="shared" si="3"/>
        <v>January</v>
      </c>
    </row>
    <row r="57" spans="1:12" x14ac:dyDescent="0.35">
      <c r="A57" s="6">
        <v>45066</v>
      </c>
      <c r="B57" t="s">
        <v>16</v>
      </c>
      <c r="C57" t="s">
        <v>14</v>
      </c>
      <c r="D57" s="5" t="s">
        <v>20</v>
      </c>
      <c r="E57" t="s">
        <v>21</v>
      </c>
      <c r="F57" t="s">
        <v>84</v>
      </c>
      <c r="G57" s="5">
        <v>69344</v>
      </c>
      <c r="H57" s="5">
        <v>11962</v>
      </c>
      <c r="I57" s="5" t="str">
        <f t="shared" si="0"/>
        <v>High Sales</v>
      </c>
      <c r="J57" t="str">
        <f t="shared" si="1"/>
        <v>Good Performance</v>
      </c>
      <c r="K57" s="5">
        <f t="shared" si="2"/>
        <v>2023</v>
      </c>
      <c r="L57" s="5" t="str">
        <f t="shared" si="3"/>
        <v>May</v>
      </c>
    </row>
    <row r="58" spans="1:12" x14ac:dyDescent="0.35">
      <c r="A58" s="6">
        <v>45224</v>
      </c>
      <c r="B58" t="s">
        <v>8</v>
      </c>
      <c r="C58" t="s">
        <v>9</v>
      </c>
      <c r="D58" s="5" t="s">
        <v>42</v>
      </c>
      <c r="E58" t="s">
        <v>43</v>
      </c>
      <c r="F58" t="s">
        <v>85</v>
      </c>
      <c r="G58" s="5">
        <v>13675</v>
      </c>
      <c r="H58" s="5">
        <v>17077</v>
      </c>
      <c r="I58" s="5" t="str">
        <f t="shared" si="0"/>
        <v>Low Sales</v>
      </c>
      <c r="J58" t="str">
        <f t="shared" si="1"/>
        <v>Needs Improvement</v>
      </c>
      <c r="K58" s="5">
        <f t="shared" si="2"/>
        <v>2023</v>
      </c>
      <c r="L58" s="5" t="str">
        <f t="shared" si="3"/>
        <v>October</v>
      </c>
    </row>
    <row r="59" spans="1:12" x14ac:dyDescent="0.35">
      <c r="A59" s="6">
        <v>45277</v>
      </c>
      <c r="B59" t="s">
        <v>13</v>
      </c>
      <c r="C59" t="s">
        <v>14</v>
      </c>
      <c r="D59" s="5" t="s">
        <v>31</v>
      </c>
      <c r="E59" t="s">
        <v>32</v>
      </c>
      <c r="F59" t="s">
        <v>86</v>
      </c>
      <c r="G59" s="5">
        <v>68624</v>
      </c>
      <c r="H59" s="5">
        <v>12278</v>
      </c>
      <c r="I59" s="5" t="str">
        <f t="shared" si="0"/>
        <v>High Sales</v>
      </c>
      <c r="J59" t="str">
        <f t="shared" si="1"/>
        <v>Good Performance</v>
      </c>
      <c r="K59" s="5">
        <f t="shared" si="2"/>
        <v>2023</v>
      </c>
      <c r="L59" s="5" t="str">
        <f t="shared" si="3"/>
        <v>December</v>
      </c>
    </row>
    <row r="60" spans="1:12" x14ac:dyDescent="0.35">
      <c r="A60" s="6">
        <v>45222</v>
      </c>
      <c r="B60" t="s">
        <v>8</v>
      </c>
      <c r="C60" t="s">
        <v>28</v>
      </c>
      <c r="D60" s="5" t="s">
        <v>31</v>
      </c>
      <c r="E60" t="s">
        <v>32</v>
      </c>
      <c r="F60" t="s">
        <v>87</v>
      </c>
      <c r="G60" s="5">
        <v>41820</v>
      </c>
      <c r="H60" s="5">
        <v>14041</v>
      </c>
      <c r="I60" s="5" t="str">
        <f t="shared" si="0"/>
        <v>Low Sales</v>
      </c>
      <c r="J60" t="str">
        <f t="shared" si="1"/>
        <v>Good Performance</v>
      </c>
      <c r="K60" s="5">
        <f t="shared" si="2"/>
        <v>2023</v>
      </c>
      <c r="L60" s="5" t="str">
        <f t="shared" si="3"/>
        <v>October</v>
      </c>
    </row>
    <row r="61" spans="1:12" x14ac:dyDescent="0.35">
      <c r="A61" s="6">
        <v>45245</v>
      </c>
      <c r="B61" t="s">
        <v>13</v>
      </c>
      <c r="C61" t="s">
        <v>14</v>
      </c>
      <c r="D61" s="5" t="s">
        <v>37</v>
      </c>
      <c r="E61" t="s">
        <v>38</v>
      </c>
      <c r="F61" t="s">
        <v>88</v>
      </c>
      <c r="G61" s="5">
        <v>73962</v>
      </c>
      <c r="H61" s="5">
        <v>17083</v>
      </c>
      <c r="I61" s="5" t="str">
        <f t="shared" si="0"/>
        <v>High Sales</v>
      </c>
      <c r="J61" t="str">
        <f t="shared" si="1"/>
        <v>Good Performance</v>
      </c>
      <c r="K61" s="5">
        <f t="shared" si="2"/>
        <v>2023</v>
      </c>
      <c r="L61" s="5" t="str">
        <f t="shared" si="3"/>
        <v>November</v>
      </c>
    </row>
    <row r="62" spans="1:12" x14ac:dyDescent="0.35">
      <c r="A62" s="6">
        <v>45127</v>
      </c>
      <c r="B62" t="s">
        <v>13</v>
      </c>
      <c r="C62" t="s">
        <v>9</v>
      </c>
      <c r="D62" s="5" t="s">
        <v>20</v>
      </c>
      <c r="E62" t="s">
        <v>21</v>
      </c>
      <c r="F62" t="s">
        <v>89</v>
      </c>
      <c r="G62" s="5">
        <v>63915</v>
      </c>
      <c r="H62" s="5">
        <v>4054</v>
      </c>
      <c r="I62" s="5" t="str">
        <f t="shared" si="0"/>
        <v>High Sales</v>
      </c>
      <c r="J62" t="str">
        <f t="shared" si="1"/>
        <v>Needs Improvement</v>
      </c>
      <c r="K62" s="5">
        <f t="shared" si="2"/>
        <v>2023</v>
      </c>
      <c r="L62" s="5" t="str">
        <f t="shared" si="3"/>
        <v>July</v>
      </c>
    </row>
    <row r="63" spans="1:12" x14ac:dyDescent="0.35">
      <c r="A63" s="6">
        <v>45131</v>
      </c>
      <c r="B63" t="s">
        <v>8</v>
      </c>
      <c r="C63" t="s">
        <v>14</v>
      </c>
      <c r="D63" s="5" t="s">
        <v>37</v>
      </c>
      <c r="E63" t="s">
        <v>38</v>
      </c>
      <c r="F63" t="s">
        <v>90</v>
      </c>
      <c r="G63" s="5">
        <v>43018</v>
      </c>
      <c r="H63" s="5">
        <v>1537</v>
      </c>
      <c r="I63" s="5" t="str">
        <f t="shared" si="0"/>
        <v>Low Sales</v>
      </c>
      <c r="J63" t="str">
        <f t="shared" si="1"/>
        <v>Needs Improvement</v>
      </c>
      <c r="K63" s="5">
        <f t="shared" si="2"/>
        <v>2023</v>
      </c>
      <c r="L63" s="5" t="str">
        <f t="shared" si="3"/>
        <v>July</v>
      </c>
    </row>
    <row r="64" spans="1:12" x14ac:dyDescent="0.35">
      <c r="A64" s="6">
        <v>45167</v>
      </c>
      <c r="B64" t="s">
        <v>35</v>
      </c>
      <c r="C64" t="s">
        <v>28</v>
      </c>
      <c r="D64" s="5" t="s">
        <v>23</v>
      </c>
      <c r="E64" t="s">
        <v>24</v>
      </c>
      <c r="F64" t="s">
        <v>91</v>
      </c>
      <c r="G64" s="5">
        <v>43881</v>
      </c>
      <c r="H64" s="5">
        <v>11708</v>
      </c>
      <c r="I64" s="5" t="str">
        <f t="shared" si="0"/>
        <v>Low Sales</v>
      </c>
      <c r="J64" t="str">
        <f t="shared" si="1"/>
        <v>Good Performance</v>
      </c>
      <c r="K64" s="5">
        <f t="shared" si="2"/>
        <v>2023</v>
      </c>
      <c r="L64" s="5" t="str">
        <f t="shared" si="3"/>
        <v>August</v>
      </c>
    </row>
    <row r="65" spans="1:12" x14ac:dyDescent="0.35">
      <c r="A65" s="6">
        <v>45146</v>
      </c>
      <c r="B65" t="s">
        <v>8</v>
      </c>
      <c r="C65" t="s">
        <v>14</v>
      </c>
      <c r="D65" s="5" t="s">
        <v>10</v>
      </c>
      <c r="E65" t="s">
        <v>11</v>
      </c>
      <c r="F65" t="s">
        <v>92</v>
      </c>
      <c r="G65" s="5">
        <v>75578</v>
      </c>
      <c r="H65" s="5">
        <v>7226</v>
      </c>
      <c r="I65" s="5" t="str">
        <f t="shared" si="0"/>
        <v>High Sales</v>
      </c>
      <c r="J65" t="str">
        <f t="shared" si="1"/>
        <v>Good Performance</v>
      </c>
      <c r="K65" s="5">
        <f t="shared" si="2"/>
        <v>2023</v>
      </c>
      <c r="L65" s="5" t="str">
        <f t="shared" si="3"/>
        <v>August</v>
      </c>
    </row>
    <row r="66" spans="1:12" x14ac:dyDescent="0.35">
      <c r="A66" s="6">
        <v>45184</v>
      </c>
      <c r="B66" t="s">
        <v>16</v>
      </c>
      <c r="C66" t="s">
        <v>9</v>
      </c>
      <c r="D66" s="5" t="s">
        <v>10</v>
      </c>
      <c r="E66" t="s">
        <v>11</v>
      </c>
      <c r="F66" t="s">
        <v>93</v>
      </c>
      <c r="G66" s="5">
        <v>56446</v>
      </c>
      <c r="H66" s="5">
        <v>2258</v>
      </c>
      <c r="I66" s="5" t="str">
        <f t="shared" si="0"/>
        <v>High Sales</v>
      </c>
      <c r="J66" t="str">
        <f t="shared" si="1"/>
        <v>Needs Improvement</v>
      </c>
      <c r="K66" s="5">
        <f t="shared" si="2"/>
        <v>2023</v>
      </c>
      <c r="L66" s="5" t="str">
        <f t="shared" si="3"/>
        <v>September</v>
      </c>
    </row>
    <row r="67" spans="1:12" x14ac:dyDescent="0.35">
      <c r="A67" s="6">
        <v>44931</v>
      </c>
      <c r="B67" t="s">
        <v>35</v>
      </c>
      <c r="C67" t="s">
        <v>9</v>
      </c>
      <c r="D67" s="5" t="s">
        <v>42</v>
      </c>
      <c r="E67" t="s">
        <v>43</v>
      </c>
      <c r="F67" t="s">
        <v>94</v>
      </c>
      <c r="G67" s="5">
        <v>43053</v>
      </c>
      <c r="H67" s="5">
        <v>1578</v>
      </c>
      <c r="I67" s="5" t="str">
        <f t="shared" ref="I67:I81" si="4">IF(G67&gt;50000,"High Sales","Low Sales")</f>
        <v>Low Sales</v>
      </c>
      <c r="J67" t="str">
        <f t="shared" ref="J67:J81" si="5">IF(AND(G67&gt;30000,H67&gt;5000),"Good Performance","Needs Improvement")</f>
        <v>Needs Improvement</v>
      </c>
      <c r="K67" s="5">
        <f t="shared" ref="K67:K81" si="6">YEAR(A67)</f>
        <v>2023</v>
      </c>
      <c r="L67" s="5" t="str">
        <f t="shared" ref="L67:L81" si="7">TEXT(A67,"mmmm")</f>
        <v>January</v>
      </c>
    </row>
    <row r="68" spans="1:12" x14ac:dyDescent="0.35">
      <c r="A68" s="6">
        <v>44996</v>
      </c>
      <c r="B68" t="s">
        <v>35</v>
      </c>
      <c r="C68" t="s">
        <v>28</v>
      </c>
      <c r="D68" s="5" t="s">
        <v>23</v>
      </c>
      <c r="E68" t="s">
        <v>24</v>
      </c>
      <c r="F68" t="s">
        <v>95</v>
      </c>
      <c r="G68" s="5">
        <v>17496</v>
      </c>
      <c r="H68" s="5">
        <v>11678</v>
      </c>
      <c r="I68" s="5" t="str">
        <f t="shared" si="4"/>
        <v>Low Sales</v>
      </c>
      <c r="J68" t="str">
        <f t="shared" si="5"/>
        <v>Needs Improvement</v>
      </c>
      <c r="K68" s="5">
        <f t="shared" si="6"/>
        <v>2023</v>
      </c>
      <c r="L68" s="5" t="str">
        <f t="shared" si="7"/>
        <v>March</v>
      </c>
    </row>
    <row r="69" spans="1:12" x14ac:dyDescent="0.35">
      <c r="A69" s="6">
        <v>44951</v>
      </c>
      <c r="B69" t="s">
        <v>13</v>
      </c>
      <c r="C69" t="s">
        <v>28</v>
      </c>
      <c r="D69" s="5" t="s">
        <v>10</v>
      </c>
      <c r="E69" t="s">
        <v>11</v>
      </c>
      <c r="F69" t="s">
        <v>96</v>
      </c>
      <c r="G69" s="5">
        <v>73727</v>
      </c>
      <c r="H69" s="5">
        <v>8417</v>
      </c>
      <c r="I69" s="5" t="str">
        <f t="shared" si="4"/>
        <v>High Sales</v>
      </c>
      <c r="J69" t="str">
        <f t="shared" si="5"/>
        <v>Good Performance</v>
      </c>
      <c r="K69" s="5">
        <f t="shared" si="6"/>
        <v>2023</v>
      </c>
      <c r="L69" s="5" t="str">
        <f t="shared" si="7"/>
        <v>January</v>
      </c>
    </row>
    <row r="70" spans="1:12" x14ac:dyDescent="0.35">
      <c r="A70" s="6">
        <v>45241</v>
      </c>
      <c r="B70" t="s">
        <v>13</v>
      </c>
      <c r="C70" t="s">
        <v>28</v>
      </c>
      <c r="D70" s="5" t="s">
        <v>31</v>
      </c>
      <c r="E70" t="s">
        <v>32</v>
      </c>
      <c r="F70" t="s">
        <v>97</v>
      </c>
      <c r="G70" s="5">
        <v>68160</v>
      </c>
      <c r="H70" s="5">
        <v>12245</v>
      </c>
      <c r="I70" s="5" t="str">
        <f t="shared" si="4"/>
        <v>High Sales</v>
      </c>
      <c r="J70" t="str">
        <f t="shared" si="5"/>
        <v>Good Performance</v>
      </c>
      <c r="K70" s="5">
        <f t="shared" si="6"/>
        <v>2023</v>
      </c>
      <c r="L70" s="5" t="str">
        <f t="shared" si="7"/>
        <v>November</v>
      </c>
    </row>
    <row r="71" spans="1:12" x14ac:dyDescent="0.35">
      <c r="A71" s="6">
        <v>45131</v>
      </c>
      <c r="B71" t="s">
        <v>8</v>
      </c>
      <c r="C71" t="s">
        <v>28</v>
      </c>
      <c r="D71" s="5" t="s">
        <v>10</v>
      </c>
      <c r="E71" t="s">
        <v>11</v>
      </c>
      <c r="F71" t="s">
        <v>98</v>
      </c>
      <c r="G71" s="5">
        <v>41501</v>
      </c>
      <c r="H71" s="5">
        <v>4507</v>
      </c>
      <c r="I71" s="5" t="str">
        <f t="shared" si="4"/>
        <v>Low Sales</v>
      </c>
      <c r="J71" t="str">
        <f t="shared" si="5"/>
        <v>Needs Improvement</v>
      </c>
      <c r="K71" s="5">
        <f t="shared" si="6"/>
        <v>2023</v>
      </c>
      <c r="L71" s="5" t="str">
        <f t="shared" si="7"/>
        <v>July</v>
      </c>
    </row>
    <row r="72" spans="1:12" x14ac:dyDescent="0.35">
      <c r="A72" s="6">
        <v>45280</v>
      </c>
      <c r="B72" t="s">
        <v>35</v>
      </c>
      <c r="C72" t="s">
        <v>14</v>
      </c>
      <c r="D72" s="5" t="s">
        <v>37</v>
      </c>
      <c r="E72" t="s">
        <v>38</v>
      </c>
      <c r="F72" t="s">
        <v>99</v>
      </c>
      <c r="G72" s="5">
        <v>52767</v>
      </c>
      <c r="H72" s="5">
        <v>2684</v>
      </c>
      <c r="I72" s="5" t="str">
        <f t="shared" si="4"/>
        <v>High Sales</v>
      </c>
      <c r="J72" t="str">
        <f t="shared" si="5"/>
        <v>Needs Improvement</v>
      </c>
      <c r="K72" s="5">
        <f t="shared" si="6"/>
        <v>2023</v>
      </c>
      <c r="L72" s="5" t="str">
        <f t="shared" si="7"/>
        <v>December</v>
      </c>
    </row>
    <row r="73" spans="1:12" x14ac:dyDescent="0.35">
      <c r="A73" s="6">
        <v>45223</v>
      </c>
      <c r="B73" t="s">
        <v>35</v>
      </c>
      <c r="C73" t="s">
        <v>9</v>
      </c>
      <c r="D73" s="5" t="s">
        <v>20</v>
      </c>
      <c r="E73" t="s">
        <v>21</v>
      </c>
      <c r="F73" t="s">
        <v>100</v>
      </c>
      <c r="G73" s="5">
        <v>88641</v>
      </c>
      <c r="H73" s="5">
        <v>15360</v>
      </c>
      <c r="I73" s="5" t="str">
        <f t="shared" si="4"/>
        <v>High Sales</v>
      </c>
      <c r="J73" t="str">
        <f t="shared" si="5"/>
        <v>Good Performance</v>
      </c>
      <c r="K73" s="5">
        <f t="shared" si="6"/>
        <v>2023</v>
      </c>
      <c r="L73" s="5" t="str">
        <f t="shared" si="7"/>
        <v>October</v>
      </c>
    </row>
    <row r="74" spans="1:12" x14ac:dyDescent="0.35">
      <c r="A74" s="6">
        <v>45120</v>
      </c>
      <c r="B74" t="s">
        <v>16</v>
      </c>
      <c r="C74" t="s">
        <v>14</v>
      </c>
      <c r="D74" s="5" t="s">
        <v>31</v>
      </c>
      <c r="E74" t="s">
        <v>32</v>
      </c>
      <c r="F74" t="s">
        <v>101</v>
      </c>
      <c r="G74" s="5">
        <v>91150</v>
      </c>
      <c r="H74" s="5">
        <v>9366</v>
      </c>
      <c r="I74" s="5" t="str">
        <f t="shared" si="4"/>
        <v>High Sales</v>
      </c>
      <c r="J74" t="str">
        <f t="shared" si="5"/>
        <v>Good Performance</v>
      </c>
      <c r="K74" s="5">
        <f t="shared" si="6"/>
        <v>2023</v>
      </c>
      <c r="L74" s="5" t="str">
        <f t="shared" si="7"/>
        <v>July</v>
      </c>
    </row>
    <row r="75" spans="1:12" x14ac:dyDescent="0.35">
      <c r="A75" s="6">
        <v>45215</v>
      </c>
      <c r="B75" t="s">
        <v>8</v>
      </c>
      <c r="C75" t="s">
        <v>28</v>
      </c>
      <c r="D75" s="5" t="s">
        <v>20</v>
      </c>
      <c r="E75" t="s">
        <v>21</v>
      </c>
      <c r="F75" t="s">
        <v>102</v>
      </c>
      <c r="G75" s="5">
        <v>89731</v>
      </c>
      <c r="H75" s="5">
        <v>5393</v>
      </c>
      <c r="I75" s="5" t="str">
        <f t="shared" si="4"/>
        <v>High Sales</v>
      </c>
      <c r="J75" t="str">
        <f t="shared" si="5"/>
        <v>Good Performance</v>
      </c>
      <c r="K75" s="5">
        <f t="shared" si="6"/>
        <v>2023</v>
      </c>
      <c r="L75" s="5" t="str">
        <f t="shared" si="7"/>
        <v>October</v>
      </c>
    </row>
    <row r="76" spans="1:12" x14ac:dyDescent="0.35">
      <c r="A76" s="6">
        <v>45189</v>
      </c>
      <c r="B76" t="s">
        <v>16</v>
      </c>
      <c r="C76" t="s">
        <v>14</v>
      </c>
      <c r="D76" s="5" t="s">
        <v>10</v>
      </c>
      <c r="E76" t="s">
        <v>11</v>
      </c>
      <c r="F76" t="s">
        <v>103</v>
      </c>
      <c r="G76" s="5">
        <v>11760</v>
      </c>
      <c r="H76" s="5">
        <v>8716</v>
      </c>
      <c r="I76" s="5" t="str">
        <f t="shared" si="4"/>
        <v>Low Sales</v>
      </c>
      <c r="J76" t="str">
        <f t="shared" si="5"/>
        <v>Needs Improvement</v>
      </c>
      <c r="K76" s="5">
        <f t="shared" si="6"/>
        <v>2023</v>
      </c>
      <c r="L76" s="5" t="str">
        <f t="shared" si="7"/>
        <v>September</v>
      </c>
    </row>
    <row r="77" spans="1:12" x14ac:dyDescent="0.35">
      <c r="A77" s="6">
        <v>44957</v>
      </c>
      <c r="B77" t="s">
        <v>13</v>
      </c>
      <c r="C77" t="s">
        <v>9</v>
      </c>
      <c r="D77" s="5" t="s">
        <v>37</v>
      </c>
      <c r="E77" t="s">
        <v>38</v>
      </c>
      <c r="F77" t="s">
        <v>104</v>
      </c>
      <c r="G77" s="5">
        <v>33976</v>
      </c>
      <c r="H77" s="5">
        <v>16873</v>
      </c>
      <c r="I77" s="5" t="str">
        <f t="shared" si="4"/>
        <v>Low Sales</v>
      </c>
      <c r="J77" t="str">
        <f t="shared" si="5"/>
        <v>Good Performance</v>
      </c>
      <c r="K77" s="5">
        <f t="shared" si="6"/>
        <v>2023</v>
      </c>
      <c r="L77" s="5" t="str">
        <f t="shared" si="7"/>
        <v>January</v>
      </c>
    </row>
    <row r="78" spans="1:12" x14ac:dyDescent="0.35">
      <c r="A78" s="6">
        <v>45233</v>
      </c>
      <c r="B78" t="s">
        <v>13</v>
      </c>
      <c r="C78" t="s">
        <v>9</v>
      </c>
      <c r="D78" s="5" t="s">
        <v>10</v>
      </c>
      <c r="E78" t="s">
        <v>11</v>
      </c>
      <c r="F78" t="s">
        <v>105</v>
      </c>
      <c r="G78" s="5">
        <v>88986</v>
      </c>
      <c r="H78" s="5">
        <v>15516</v>
      </c>
      <c r="I78" s="5" t="str">
        <f t="shared" si="4"/>
        <v>High Sales</v>
      </c>
      <c r="J78" t="str">
        <f t="shared" si="5"/>
        <v>Good Performance</v>
      </c>
      <c r="K78" s="5">
        <f t="shared" si="6"/>
        <v>2023</v>
      </c>
      <c r="L78" s="5" t="str">
        <f t="shared" si="7"/>
        <v>November</v>
      </c>
    </row>
    <row r="79" spans="1:12" x14ac:dyDescent="0.35">
      <c r="A79" s="6">
        <v>44084</v>
      </c>
      <c r="B79" t="s">
        <v>13</v>
      </c>
      <c r="C79" t="s">
        <v>9</v>
      </c>
      <c r="D79" s="5" t="s">
        <v>10</v>
      </c>
      <c r="E79" t="s">
        <v>11</v>
      </c>
      <c r="F79" t="s">
        <v>106</v>
      </c>
      <c r="G79" s="5">
        <v>47186</v>
      </c>
      <c r="H79" s="5">
        <v>3432</v>
      </c>
      <c r="I79" s="5" t="str">
        <f t="shared" si="4"/>
        <v>Low Sales</v>
      </c>
      <c r="J79" t="str">
        <f t="shared" si="5"/>
        <v>Needs Improvement</v>
      </c>
      <c r="K79" s="5">
        <f t="shared" si="6"/>
        <v>2020</v>
      </c>
      <c r="L79" s="5" t="str">
        <f t="shared" si="7"/>
        <v>September</v>
      </c>
    </row>
    <row r="80" spans="1:12" x14ac:dyDescent="0.35">
      <c r="A80" s="6">
        <v>44989</v>
      </c>
      <c r="B80" t="s">
        <v>13</v>
      </c>
      <c r="C80" t="s">
        <v>14</v>
      </c>
      <c r="D80" s="5" t="s">
        <v>31</v>
      </c>
      <c r="E80" t="s">
        <v>32</v>
      </c>
      <c r="F80" t="s">
        <v>107</v>
      </c>
      <c r="G80" s="5">
        <v>34885</v>
      </c>
      <c r="H80" s="5">
        <v>17986</v>
      </c>
      <c r="I80" s="5" t="str">
        <f t="shared" si="4"/>
        <v>Low Sales</v>
      </c>
      <c r="J80" t="str">
        <f t="shared" si="5"/>
        <v>Good Performance</v>
      </c>
      <c r="K80" s="5">
        <f t="shared" si="6"/>
        <v>2023</v>
      </c>
      <c r="L80" s="5" t="str">
        <f t="shared" si="7"/>
        <v>March</v>
      </c>
    </row>
    <row r="81" spans="1:12" x14ac:dyDescent="0.35">
      <c r="A81" s="6">
        <v>45284</v>
      </c>
      <c r="B81" t="s">
        <v>13</v>
      </c>
      <c r="C81" t="s">
        <v>9</v>
      </c>
      <c r="D81" s="5" t="s">
        <v>17</v>
      </c>
      <c r="E81" t="s">
        <v>18</v>
      </c>
      <c r="F81" t="s">
        <v>108</v>
      </c>
      <c r="G81" s="5" t="s">
        <v>130</v>
      </c>
      <c r="H81" s="5">
        <v>1994</v>
      </c>
      <c r="I81" s="5" t="str">
        <f t="shared" si="4"/>
        <v>High Sales</v>
      </c>
      <c r="J81" t="str">
        <f t="shared" si="5"/>
        <v>Needs Improvement</v>
      </c>
      <c r="K81" s="5">
        <f t="shared" si="6"/>
        <v>2023</v>
      </c>
      <c r="L81" s="5" t="str">
        <f t="shared" si="7"/>
        <v>December</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1F02-426D-4A90-919A-8024EB436784}">
  <dimension ref="A1:D8"/>
  <sheetViews>
    <sheetView workbookViewId="0">
      <selection activeCell="D11" sqref="D11"/>
    </sheetView>
  </sheetViews>
  <sheetFormatPr defaultRowHeight="14.5" x14ac:dyDescent="0.35"/>
  <cols>
    <col min="1" max="1" width="21.36328125" bestFit="1" customWidth="1"/>
    <col min="2" max="2" width="12.36328125" bestFit="1" customWidth="1"/>
    <col min="3" max="3" width="12.7265625" style="5" bestFit="1" customWidth="1"/>
    <col min="4" max="4" width="58.1796875" bestFit="1" customWidth="1"/>
  </cols>
  <sheetData>
    <row r="1" spans="1:4" x14ac:dyDescent="0.35">
      <c r="A1" s="15" t="s">
        <v>127</v>
      </c>
      <c r="B1" s="15"/>
      <c r="C1" s="15"/>
      <c r="D1" s="15"/>
    </row>
    <row r="2" spans="1:4" x14ac:dyDescent="0.35">
      <c r="A2" s="1" t="s">
        <v>111</v>
      </c>
      <c r="B2" s="1" t="s">
        <v>112</v>
      </c>
      <c r="C2" s="3" t="s">
        <v>113</v>
      </c>
      <c r="D2" s="1" t="s">
        <v>123</v>
      </c>
    </row>
    <row r="3" spans="1:4" x14ac:dyDescent="0.35">
      <c r="A3" t="s">
        <v>109</v>
      </c>
      <c r="B3" t="s">
        <v>117</v>
      </c>
      <c r="C3" s="4">
        <f>SUM(Sales_Data!G2:G81)</f>
        <v>4064838</v>
      </c>
      <c r="D3" t="s">
        <v>124</v>
      </c>
    </row>
    <row r="4" spans="1:4" x14ac:dyDescent="0.35">
      <c r="A4" t="s">
        <v>110</v>
      </c>
      <c r="B4" t="s">
        <v>118</v>
      </c>
      <c r="C4" s="4">
        <f>AVERAGE(Sales_Data!G2:G81)</f>
        <v>51453.645569620254</v>
      </c>
      <c r="D4" t="s">
        <v>125</v>
      </c>
    </row>
    <row r="5" spans="1:4" x14ac:dyDescent="0.35">
      <c r="A5" t="s">
        <v>114</v>
      </c>
      <c r="B5" t="s">
        <v>119</v>
      </c>
      <c r="C5" s="4">
        <f>MAX(Sales_Data!G2:G81)</f>
        <v>93596</v>
      </c>
      <c r="D5" t="s">
        <v>126</v>
      </c>
    </row>
    <row r="6" spans="1:4" x14ac:dyDescent="0.35">
      <c r="A6" t="s">
        <v>115</v>
      </c>
      <c r="B6" t="s">
        <v>120</v>
      </c>
      <c r="C6" s="4">
        <f>MIN(Sales_Data!G2:G81)</f>
        <v>7042</v>
      </c>
      <c r="D6" t="s">
        <v>128</v>
      </c>
    </row>
    <row r="7" spans="1:4" x14ac:dyDescent="0.35">
      <c r="A7" t="s">
        <v>116</v>
      </c>
      <c r="B7" t="s">
        <v>121</v>
      </c>
      <c r="C7" s="5">
        <f>COUNT(Sales_Data!G2:G81)</f>
        <v>79</v>
      </c>
      <c r="D7" t="s">
        <v>129</v>
      </c>
    </row>
    <row r="8" spans="1:4" x14ac:dyDescent="0.35">
      <c r="A8" t="s">
        <v>116</v>
      </c>
      <c r="B8" t="s">
        <v>122</v>
      </c>
      <c r="C8" s="5">
        <f>COUNTA(Sales_Data!G2:G81)</f>
        <v>80</v>
      </c>
      <c r="D8" t="s">
        <v>131</v>
      </c>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D5EF1-C292-4C26-A23A-75BEAE5DEF2A}">
  <dimension ref="A1:D4"/>
  <sheetViews>
    <sheetView workbookViewId="0">
      <selection activeCell="F7" sqref="F7"/>
    </sheetView>
  </sheetViews>
  <sheetFormatPr defaultRowHeight="14.5" x14ac:dyDescent="0.35"/>
  <cols>
    <col min="1" max="1" width="21.36328125" style="9" bestFit="1" customWidth="1"/>
    <col min="2" max="2" width="12.36328125" style="9" bestFit="1" customWidth="1"/>
    <col min="3" max="3" width="35" style="9" bestFit="1" customWidth="1"/>
    <col min="4" max="4" width="61.7265625" style="9" customWidth="1"/>
    <col min="5" max="16384" width="8.7265625" style="9"/>
  </cols>
  <sheetData>
    <row r="1" spans="1:4" x14ac:dyDescent="0.35">
      <c r="A1" s="16" t="s">
        <v>135</v>
      </c>
      <c r="B1" s="16"/>
      <c r="C1" s="16"/>
      <c r="D1" s="16"/>
    </row>
    <row r="2" spans="1:4" x14ac:dyDescent="0.35">
      <c r="A2" s="10" t="s">
        <v>134</v>
      </c>
      <c r="B2" s="10" t="s">
        <v>112</v>
      </c>
      <c r="C2" s="10" t="s">
        <v>113</v>
      </c>
      <c r="D2" s="10" t="s">
        <v>123</v>
      </c>
    </row>
    <row r="3" spans="1:4" x14ac:dyDescent="0.35">
      <c r="A3" s="9" t="s">
        <v>137</v>
      </c>
      <c r="B3" s="9" t="s">
        <v>136</v>
      </c>
      <c r="C3" s="9" t="s">
        <v>138</v>
      </c>
      <c r="D3" s="9" t="s">
        <v>141</v>
      </c>
    </row>
    <row r="4" spans="1:4" ht="29" x14ac:dyDescent="0.35">
      <c r="A4" s="9" t="s">
        <v>133</v>
      </c>
      <c r="B4" s="9" t="s">
        <v>139</v>
      </c>
      <c r="C4" s="9" t="s">
        <v>140</v>
      </c>
      <c r="D4" s="11" t="s">
        <v>142</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CAE35-55AC-4950-AD0B-2A03470E7D8B}">
  <dimension ref="A1:L81"/>
  <sheetViews>
    <sheetView workbookViewId="0">
      <selection activeCell="L6" sqref="L6"/>
    </sheetView>
  </sheetViews>
  <sheetFormatPr defaultRowHeight="14.5" x14ac:dyDescent="0.35"/>
  <cols>
    <col min="1" max="1" width="11.90625" style="5" customWidth="1"/>
    <col min="2" max="2" width="9.81640625" customWidth="1"/>
    <col min="3" max="3" width="13.1796875" bestFit="1" customWidth="1"/>
    <col min="4" max="4" width="11.81640625" style="5" customWidth="1"/>
    <col min="5" max="5" width="21.453125" bestFit="1" customWidth="1"/>
    <col min="6" max="6" width="17.453125" customWidth="1"/>
    <col min="7" max="7" width="16.1796875" bestFit="1" customWidth="1"/>
    <col min="8" max="9" width="8.7265625" style="5"/>
    <col min="10" max="10" width="13.6328125" style="5" customWidth="1"/>
    <col min="11" max="11" width="19.54296875" customWidth="1"/>
    <col min="12" max="12" width="162" bestFit="1" customWidth="1"/>
  </cols>
  <sheetData>
    <row r="1" spans="1:12" x14ac:dyDescent="0.35">
      <c r="A1" s="3" t="s">
        <v>0</v>
      </c>
      <c r="B1" s="1" t="s">
        <v>1</v>
      </c>
      <c r="C1" s="1" t="s">
        <v>2</v>
      </c>
      <c r="D1" s="3" t="s">
        <v>3</v>
      </c>
      <c r="E1" s="1" t="s">
        <v>4</v>
      </c>
      <c r="F1" s="1" t="s">
        <v>229</v>
      </c>
      <c r="G1" s="1" t="s">
        <v>230</v>
      </c>
      <c r="H1" s="3" t="s">
        <v>6</v>
      </c>
      <c r="I1" s="3" t="s">
        <v>7</v>
      </c>
      <c r="J1" s="3" t="s">
        <v>132</v>
      </c>
      <c r="K1" s="3" t="s">
        <v>133</v>
      </c>
      <c r="L1" s="3" t="s">
        <v>123</v>
      </c>
    </row>
    <row r="2" spans="1:12" x14ac:dyDescent="0.35">
      <c r="A2" s="6">
        <v>44998</v>
      </c>
      <c r="B2" t="s">
        <v>8</v>
      </c>
      <c r="C2" t="s">
        <v>9</v>
      </c>
      <c r="D2" s="5" t="s">
        <v>10</v>
      </c>
      <c r="E2" t="str">
        <f>PROPER(TRIM(Sales_Data!E2))</f>
        <v>Keyboard</v>
      </c>
      <c r="F2" t="s">
        <v>146</v>
      </c>
      <c r="G2" t="s">
        <v>147</v>
      </c>
      <c r="H2" s="5">
        <v>41519</v>
      </c>
      <c r="I2" s="5">
        <v>1598</v>
      </c>
      <c r="J2" s="5" t="str">
        <f>IF(H2&gt;50000,"High Sales","Low Sales")</f>
        <v>Low Sales</v>
      </c>
      <c r="K2" t="str">
        <f>IF(AND(H2&gt;30000,I2&gt;5000),"Good Performance","Needs Improvement")</f>
        <v>Needs Improvement</v>
      </c>
      <c r="L2" t="s">
        <v>232</v>
      </c>
    </row>
    <row r="3" spans="1:12" x14ac:dyDescent="0.35">
      <c r="A3" s="6">
        <v>45099</v>
      </c>
      <c r="B3" t="s">
        <v>13</v>
      </c>
      <c r="C3" t="s">
        <v>14</v>
      </c>
      <c r="D3" s="5" t="s">
        <v>10</v>
      </c>
      <c r="E3" t="str">
        <f>PROPER(TRIM(Sales_Data!E3))</f>
        <v>Keyboard</v>
      </c>
      <c r="F3" t="s">
        <v>148</v>
      </c>
      <c r="G3" t="s">
        <v>149</v>
      </c>
      <c r="H3" s="5">
        <v>74551</v>
      </c>
      <c r="I3" s="5">
        <v>2929</v>
      </c>
      <c r="J3" s="5" t="str">
        <f t="shared" ref="J3:J66" si="0">IF(H3&gt;50000,"High Sales","Low Sales")</f>
        <v>High Sales</v>
      </c>
      <c r="K3" t="str">
        <f t="shared" ref="K3:K66" si="1">IF(AND(H3&gt;30000,I3&gt;5000),"Good Performance","Needs Improvement")</f>
        <v>Needs Improvement</v>
      </c>
    </row>
    <row r="4" spans="1:12" x14ac:dyDescent="0.35">
      <c r="A4" s="6">
        <v>44991</v>
      </c>
      <c r="B4" t="s">
        <v>16</v>
      </c>
      <c r="C4" t="s">
        <v>9</v>
      </c>
      <c r="D4" s="5" t="s">
        <v>17</v>
      </c>
      <c r="E4" t="str">
        <f>PROPER(TRIM(Sales_Data!E4))</f>
        <v>Wireless Mouse</v>
      </c>
      <c r="F4" t="s">
        <v>150</v>
      </c>
      <c r="G4" t="s">
        <v>147</v>
      </c>
      <c r="H4" s="5">
        <v>39707</v>
      </c>
      <c r="I4" s="5">
        <v>10251</v>
      </c>
      <c r="J4" s="5" t="str">
        <f t="shared" si="0"/>
        <v>Low Sales</v>
      </c>
      <c r="K4" t="str">
        <f t="shared" si="1"/>
        <v>Good Performance</v>
      </c>
    </row>
    <row r="5" spans="1:12" x14ac:dyDescent="0.35">
      <c r="A5" s="6">
        <v>45187</v>
      </c>
      <c r="B5" t="s">
        <v>13</v>
      </c>
      <c r="C5" t="s">
        <v>9</v>
      </c>
      <c r="D5" s="5" t="s">
        <v>20</v>
      </c>
      <c r="E5" t="str">
        <f>PROPER(TRIM(Sales_Data!E5))</f>
        <v>Printer</v>
      </c>
      <c r="F5" t="s">
        <v>151</v>
      </c>
      <c r="G5" t="s">
        <v>152</v>
      </c>
      <c r="H5" s="5">
        <v>41740</v>
      </c>
      <c r="I5" s="5">
        <v>5926</v>
      </c>
      <c r="J5" s="5" t="str">
        <f t="shared" si="0"/>
        <v>Low Sales</v>
      </c>
      <c r="K5" t="str">
        <f t="shared" si="1"/>
        <v>Good Performance</v>
      </c>
    </row>
    <row r="6" spans="1:12" x14ac:dyDescent="0.35">
      <c r="A6" s="6">
        <v>45066</v>
      </c>
      <c r="B6" t="s">
        <v>8</v>
      </c>
      <c r="C6" t="s">
        <v>9</v>
      </c>
      <c r="D6" s="5" t="s">
        <v>23</v>
      </c>
      <c r="E6" t="str">
        <f>PROPER(TRIM(Sales_Data!E6))</f>
        <v>Monitor</v>
      </c>
      <c r="F6" t="s">
        <v>153</v>
      </c>
      <c r="G6" t="s">
        <v>149</v>
      </c>
      <c r="H6" s="5">
        <v>25679</v>
      </c>
      <c r="I6" s="5">
        <v>16897</v>
      </c>
      <c r="J6" s="5" t="str">
        <f t="shared" si="0"/>
        <v>Low Sales</v>
      </c>
      <c r="K6" t="str">
        <f t="shared" si="1"/>
        <v>Needs Improvement</v>
      </c>
    </row>
    <row r="7" spans="1:12" x14ac:dyDescent="0.35">
      <c r="A7" s="6">
        <v>44978</v>
      </c>
      <c r="B7" t="s">
        <v>13</v>
      </c>
      <c r="C7" t="s">
        <v>9</v>
      </c>
      <c r="D7" s="5" t="s">
        <v>17</v>
      </c>
      <c r="E7" t="str">
        <f>PROPER(TRIM(Sales_Data!E7))</f>
        <v>Wireless Mouse</v>
      </c>
      <c r="F7" t="s">
        <v>154</v>
      </c>
      <c r="G7" t="s">
        <v>152</v>
      </c>
      <c r="H7" s="5">
        <v>93596</v>
      </c>
      <c r="I7" s="5">
        <v>16635</v>
      </c>
      <c r="J7" s="5" t="str">
        <f t="shared" si="0"/>
        <v>High Sales</v>
      </c>
      <c r="K7" t="str">
        <f t="shared" si="1"/>
        <v>Good Performance</v>
      </c>
    </row>
    <row r="8" spans="1:12" x14ac:dyDescent="0.35">
      <c r="A8" s="6">
        <v>45211</v>
      </c>
      <c r="B8" t="s">
        <v>8</v>
      </c>
      <c r="C8" t="s">
        <v>9</v>
      </c>
      <c r="D8" s="5" t="s">
        <v>10</v>
      </c>
      <c r="E8" t="str">
        <f>PROPER(TRIM(Sales_Data!E8))</f>
        <v>Keyboard</v>
      </c>
      <c r="F8" t="s">
        <v>155</v>
      </c>
      <c r="G8" t="s">
        <v>149</v>
      </c>
      <c r="H8" s="5">
        <v>73436</v>
      </c>
      <c r="I8" s="5">
        <v>11543</v>
      </c>
      <c r="J8" s="5" t="str">
        <f t="shared" si="0"/>
        <v>High Sales</v>
      </c>
      <c r="K8" t="str">
        <f t="shared" si="1"/>
        <v>Good Performance</v>
      </c>
    </row>
    <row r="9" spans="1:12" x14ac:dyDescent="0.35">
      <c r="A9" s="6">
        <v>45230</v>
      </c>
      <c r="B9" t="s">
        <v>13</v>
      </c>
      <c r="C9" t="s">
        <v>28</v>
      </c>
      <c r="D9" s="5" t="s">
        <v>20</v>
      </c>
      <c r="E9" t="str">
        <f>PROPER(TRIM(Sales_Data!E9))</f>
        <v>Printer</v>
      </c>
      <c r="F9" t="s">
        <v>156</v>
      </c>
      <c r="G9" t="s">
        <v>157</v>
      </c>
      <c r="H9" s="5">
        <v>57615</v>
      </c>
      <c r="I9" s="5">
        <v>10638</v>
      </c>
      <c r="J9" s="5" t="str">
        <f t="shared" si="0"/>
        <v>High Sales</v>
      </c>
      <c r="K9" t="str">
        <f t="shared" si="1"/>
        <v>Good Performance</v>
      </c>
    </row>
    <row r="10" spans="1:12" x14ac:dyDescent="0.35">
      <c r="A10" s="6">
        <v>45040</v>
      </c>
      <c r="B10" t="s">
        <v>8</v>
      </c>
      <c r="C10" t="s">
        <v>9</v>
      </c>
      <c r="D10" s="5" t="s">
        <v>17</v>
      </c>
      <c r="E10" t="str">
        <f>PROPER(TRIM(Sales_Data!E10))</f>
        <v>Wireless Mouse</v>
      </c>
      <c r="F10" t="s">
        <v>158</v>
      </c>
      <c r="G10" t="s">
        <v>149</v>
      </c>
      <c r="H10" s="5">
        <v>20610</v>
      </c>
      <c r="I10" s="5">
        <v>11441</v>
      </c>
      <c r="J10" s="5" t="str">
        <f t="shared" si="0"/>
        <v>Low Sales</v>
      </c>
      <c r="K10" t="str">
        <f t="shared" si="1"/>
        <v>Needs Improvement</v>
      </c>
    </row>
    <row r="11" spans="1:12" x14ac:dyDescent="0.35">
      <c r="A11" s="6">
        <v>44954</v>
      </c>
      <c r="B11" t="s">
        <v>8</v>
      </c>
      <c r="C11" t="s">
        <v>9</v>
      </c>
      <c r="D11" s="5" t="s">
        <v>31</v>
      </c>
      <c r="E11" t="str">
        <f>PROPER(TRIM(Sales_Data!E11))</f>
        <v>Office Chair</v>
      </c>
      <c r="F11" t="s">
        <v>159</v>
      </c>
      <c r="G11" t="s">
        <v>147</v>
      </c>
      <c r="H11" s="5">
        <v>30927</v>
      </c>
      <c r="I11" s="5">
        <v>7697</v>
      </c>
      <c r="J11" s="5" t="str">
        <f t="shared" si="0"/>
        <v>Low Sales</v>
      </c>
      <c r="K11" t="str">
        <f t="shared" si="1"/>
        <v>Good Performance</v>
      </c>
    </row>
    <row r="12" spans="1:12" x14ac:dyDescent="0.35">
      <c r="A12" s="6">
        <v>45039</v>
      </c>
      <c r="B12" t="s">
        <v>13</v>
      </c>
      <c r="C12" t="s">
        <v>28</v>
      </c>
      <c r="D12" s="5" t="s">
        <v>10</v>
      </c>
      <c r="E12" t="str">
        <f>PROPER(TRIM(Sales_Data!E12))</f>
        <v>Keyboard</v>
      </c>
      <c r="F12" t="s">
        <v>160</v>
      </c>
      <c r="G12" t="s">
        <v>157</v>
      </c>
      <c r="H12" s="5">
        <v>32186</v>
      </c>
      <c r="I12" s="5">
        <v>9561</v>
      </c>
      <c r="J12" s="5" t="str">
        <f t="shared" si="0"/>
        <v>Low Sales</v>
      </c>
      <c r="K12" t="str">
        <f t="shared" si="1"/>
        <v>Good Performance</v>
      </c>
    </row>
    <row r="13" spans="1:12" x14ac:dyDescent="0.35">
      <c r="A13" s="6">
        <v>45063</v>
      </c>
      <c r="B13" t="s">
        <v>35</v>
      </c>
      <c r="C13" t="s">
        <v>14</v>
      </c>
      <c r="D13" s="5" t="s">
        <v>20</v>
      </c>
      <c r="E13" t="str">
        <f>PROPER(TRIM(Sales_Data!E13))</f>
        <v>Printer</v>
      </c>
      <c r="F13" t="s">
        <v>161</v>
      </c>
      <c r="G13" t="s">
        <v>157</v>
      </c>
      <c r="H13" s="5">
        <v>83382</v>
      </c>
      <c r="I13" s="5">
        <v>9790</v>
      </c>
      <c r="J13" s="5" t="str">
        <f t="shared" si="0"/>
        <v>High Sales</v>
      </c>
      <c r="K13" t="str">
        <f t="shared" si="1"/>
        <v>Good Performance</v>
      </c>
    </row>
    <row r="14" spans="1:12" x14ac:dyDescent="0.35">
      <c r="A14" s="6">
        <v>45106</v>
      </c>
      <c r="B14" t="s">
        <v>35</v>
      </c>
      <c r="C14" t="s">
        <v>14</v>
      </c>
      <c r="D14" s="5" t="s">
        <v>37</v>
      </c>
      <c r="E14" t="str">
        <f>PROPER(TRIM(Sales_Data!E14))</f>
        <v>Laptop Stand</v>
      </c>
      <c r="F14" t="s">
        <v>162</v>
      </c>
      <c r="G14" t="s">
        <v>149</v>
      </c>
      <c r="H14" s="5">
        <v>41358</v>
      </c>
      <c r="I14" s="5">
        <v>9198</v>
      </c>
      <c r="J14" s="5" t="str">
        <f t="shared" si="0"/>
        <v>Low Sales</v>
      </c>
      <c r="K14" t="str">
        <f t="shared" si="1"/>
        <v>Good Performance</v>
      </c>
    </row>
    <row r="15" spans="1:12" x14ac:dyDescent="0.35">
      <c r="A15" s="6">
        <v>45285</v>
      </c>
      <c r="B15" t="s">
        <v>16</v>
      </c>
      <c r="C15" t="s">
        <v>28</v>
      </c>
      <c r="D15" s="5" t="s">
        <v>31</v>
      </c>
      <c r="E15" t="str">
        <f>PROPER(TRIM(Sales_Data!E15))</f>
        <v>Office Chair</v>
      </c>
      <c r="F15" t="s">
        <v>163</v>
      </c>
      <c r="G15" t="s">
        <v>149</v>
      </c>
      <c r="H15" s="5">
        <v>54807</v>
      </c>
      <c r="I15" s="5">
        <v>9215</v>
      </c>
      <c r="J15" s="5" t="str">
        <f t="shared" si="0"/>
        <v>High Sales</v>
      </c>
      <c r="K15" t="str">
        <f t="shared" si="1"/>
        <v>Good Performance</v>
      </c>
    </row>
    <row r="16" spans="1:12" x14ac:dyDescent="0.35">
      <c r="A16" s="6">
        <v>45169</v>
      </c>
      <c r="B16" t="s">
        <v>16</v>
      </c>
      <c r="C16" t="s">
        <v>28</v>
      </c>
      <c r="D16" s="5" t="s">
        <v>23</v>
      </c>
      <c r="E16" t="str">
        <f>PROPER(TRIM(Sales_Data!E16))</f>
        <v>Monitor</v>
      </c>
      <c r="F16" t="s">
        <v>164</v>
      </c>
      <c r="G16" t="s">
        <v>149</v>
      </c>
      <c r="H16" s="5">
        <v>55732</v>
      </c>
      <c r="I16" s="5">
        <v>15120</v>
      </c>
      <c r="J16" s="5" t="str">
        <f t="shared" si="0"/>
        <v>High Sales</v>
      </c>
      <c r="K16" t="str">
        <f t="shared" si="1"/>
        <v>Good Performance</v>
      </c>
    </row>
    <row r="17" spans="1:11" x14ac:dyDescent="0.35">
      <c r="A17" s="6">
        <v>45071</v>
      </c>
      <c r="B17" t="s">
        <v>8</v>
      </c>
      <c r="C17" t="s">
        <v>14</v>
      </c>
      <c r="D17" s="5" t="s">
        <v>42</v>
      </c>
      <c r="E17" t="str">
        <f>PROPER(TRIM(Sales_Data!E17))</f>
        <v>Desk Lamp</v>
      </c>
      <c r="F17" t="s">
        <v>165</v>
      </c>
      <c r="G17" t="s">
        <v>149</v>
      </c>
      <c r="H17" s="5">
        <v>49565</v>
      </c>
      <c r="I17" s="5">
        <v>6310</v>
      </c>
      <c r="J17" s="5" t="str">
        <f t="shared" si="0"/>
        <v>Low Sales</v>
      </c>
      <c r="K17" t="str">
        <f t="shared" si="1"/>
        <v>Good Performance</v>
      </c>
    </row>
    <row r="18" spans="1:11" x14ac:dyDescent="0.35">
      <c r="A18" s="6">
        <v>45228</v>
      </c>
      <c r="B18" t="s">
        <v>16</v>
      </c>
      <c r="C18" t="s">
        <v>14</v>
      </c>
      <c r="D18" s="5" t="s">
        <v>10</v>
      </c>
      <c r="E18" t="str">
        <f>PROPER(TRIM(Sales_Data!E18))</f>
        <v>Keyboard</v>
      </c>
      <c r="F18" t="s">
        <v>166</v>
      </c>
      <c r="G18" t="s">
        <v>149</v>
      </c>
      <c r="H18" s="5">
        <v>39905</v>
      </c>
      <c r="I18" s="5">
        <v>16239</v>
      </c>
      <c r="J18" s="5" t="str">
        <f t="shared" si="0"/>
        <v>Low Sales</v>
      </c>
      <c r="K18" t="str">
        <f t="shared" si="1"/>
        <v>Good Performance</v>
      </c>
    </row>
    <row r="19" spans="1:11" x14ac:dyDescent="0.35">
      <c r="A19" s="6">
        <v>45225</v>
      </c>
      <c r="B19" t="s">
        <v>16</v>
      </c>
      <c r="C19" t="s">
        <v>14</v>
      </c>
      <c r="D19" s="5" t="s">
        <v>17</v>
      </c>
      <c r="E19" t="str">
        <f>PROPER(TRIM(Sales_Data!E19))</f>
        <v>Wireless Mouse</v>
      </c>
      <c r="F19" t="s">
        <v>167</v>
      </c>
      <c r="G19" t="s">
        <v>157</v>
      </c>
      <c r="H19" s="5">
        <v>55157</v>
      </c>
      <c r="I19" s="5">
        <v>8143</v>
      </c>
      <c r="J19" s="5" t="str">
        <f t="shared" si="0"/>
        <v>High Sales</v>
      </c>
      <c r="K19" t="str">
        <f t="shared" si="1"/>
        <v>Good Performance</v>
      </c>
    </row>
    <row r="20" spans="1:11" x14ac:dyDescent="0.35">
      <c r="A20" s="6">
        <v>45059</v>
      </c>
      <c r="B20" t="s">
        <v>13</v>
      </c>
      <c r="C20" t="s">
        <v>9</v>
      </c>
      <c r="D20" s="5" t="s">
        <v>20</v>
      </c>
      <c r="E20" t="str">
        <f>PROPER(TRIM(Sales_Data!E20))</f>
        <v>Printer</v>
      </c>
      <c r="F20" t="s">
        <v>168</v>
      </c>
      <c r="G20" t="s">
        <v>147</v>
      </c>
      <c r="H20" s="5">
        <v>37073</v>
      </c>
      <c r="I20" s="5">
        <v>13066</v>
      </c>
      <c r="J20" s="5" t="str">
        <f t="shared" si="0"/>
        <v>Low Sales</v>
      </c>
      <c r="K20" t="str">
        <f t="shared" si="1"/>
        <v>Good Performance</v>
      </c>
    </row>
    <row r="21" spans="1:11" x14ac:dyDescent="0.35">
      <c r="A21" s="6">
        <v>44930</v>
      </c>
      <c r="B21" t="s">
        <v>13</v>
      </c>
      <c r="C21" t="s">
        <v>28</v>
      </c>
      <c r="D21" s="5" t="s">
        <v>31</v>
      </c>
      <c r="E21" t="str">
        <f>PROPER(TRIM(Sales_Data!E21))</f>
        <v>Office Chair</v>
      </c>
      <c r="F21" t="s">
        <v>169</v>
      </c>
      <c r="G21" t="s">
        <v>147</v>
      </c>
      <c r="H21" s="5">
        <v>45477</v>
      </c>
      <c r="I21" s="5">
        <v>17744</v>
      </c>
      <c r="J21" s="5" t="str">
        <f t="shared" si="0"/>
        <v>Low Sales</v>
      </c>
      <c r="K21" t="str">
        <f t="shared" si="1"/>
        <v>Good Performance</v>
      </c>
    </row>
    <row r="22" spans="1:11" x14ac:dyDescent="0.35">
      <c r="A22" s="6">
        <v>45222</v>
      </c>
      <c r="B22" t="s">
        <v>16</v>
      </c>
      <c r="C22" t="s">
        <v>14</v>
      </c>
      <c r="D22" s="5" t="s">
        <v>42</v>
      </c>
      <c r="E22" t="str">
        <f>PROPER(TRIM(Sales_Data!E22))</f>
        <v>Desk Lamp</v>
      </c>
      <c r="F22" t="s">
        <v>170</v>
      </c>
      <c r="G22" t="s">
        <v>157</v>
      </c>
      <c r="H22" s="5">
        <v>66233</v>
      </c>
      <c r="I22" s="5">
        <v>10713</v>
      </c>
      <c r="J22" s="5" t="str">
        <f t="shared" si="0"/>
        <v>High Sales</v>
      </c>
      <c r="K22" t="str">
        <f t="shared" si="1"/>
        <v>Good Performance</v>
      </c>
    </row>
    <row r="23" spans="1:11" x14ac:dyDescent="0.35">
      <c r="A23" s="6">
        <v>45040</v>
      </c>
      <c r="B23" t="s">
        <v>8</v>
      </c>
      <c r="C23" t="s">
        <v>28</v>
      </c>
      <c r="D23" s="5" t="s">
        <v>42</v>
      </c>
      <c r="E23" t="str">
        <f>PROPER(TRIM(Sales_Data!E23))</f>
        <v>Desk Lamp</v>
      </c>
      <c r="F23" t="s">
        <v>171</v>
      </c>
      <c r="G23" t="s">
        <v>149</v>
      </c>
      <c r="H23" s="5">
        <v>28743</v>
      </c>
      <c r="I23" s="5">
        <v>5562</v>
      </c>
      <c r="J23" s="5" t="str">
        <f t="shared" si="0"/>
        <v>Low Sales</v>
      </c>
      <c r="K23" t="str">
        <f t="shared" si="1"/>
        <v>Needs Improvement</v>
      </c>
    </row>
    <row r="24" spans="1:11" x14ac:dyDescent="0.35">
      <c r="A24" s="6">
        <v>45024</v>
      </c>
      <c r="B24" t="s">
        <v>16</v>
      </c>
      <c r="C24" t="s">
        <v>9</v>
      </c>
      <c r="D24" s="5" t="s">
        <v>10</v>
      </c>
      <c r="E24" t="str">
        <f>PROPER(TRIM(Sales_Data!E24))</f>
        <v>Keyboard</v>
      </c>
      <c r="F24" t="s">
        <v>172</v>
      </c>
      <c r="G24" t="s">
        <v>157</v>
      </c>
      <c r="H24" s="5">
        <v>70083</v>
      </c>
      <c r="I24" s="5">
        <v>17048</v>
      </c>
      <c r="J24" s="5" t="str">
        <f t="shared" si="0"/>
        <v>High Sales</v>
      </c>
      <c r="K24" t="str">
        <f t="shared" si="1"/>
        <v>Good Performance</v>
      </c>
    </row>
    <row r="25" spans="1:11" x14ac:dyDescent="0.35">
      <c r="A25" s="6">
        <v>44977</v>
      </c>
      <c r="B25" t="s">
        <v>35</v>
      </c>
      <c r="C25" t="s">
        <v>28</v>
      </c>
      <c r="D25" s="5" t="s">
        <v>37</v>
      </c>
      <c r="E25" t="str">
        <f>PROPER(TRIM(Sales_Data!E25))</f>
        <v>Laptop Stand</v>
      </c>
      <c r="F25" t="s">
        <v>173</v>
      </c>
      <c r="G25" t="s">
        <v>157</v>
      </c>
      <c r="H25" s="5">
        <v>64850</v>
      </c>
      <c r="I25" s="5">
        <v>17675</v>
      </c>
      <c r="J25" s="5" t="str">
        <f t="shared" si="0"/>
        <v>High Sales</v>
      </c>
      <c r="K25" t="str">
        <f t="shared" si="1"/>
        <v>Good Performance</v>
      </c>
    </row>
    <row r="26" spans="1:11" x14ac:dyDescent="0.35">
      <c r="A26" s="6">
        <v>45138</v>
      </c>
      <c r="B26" t="s">
        <v>35</v>
      </c>
      <c r="C26" t="s">
        <v>14</v>
      </c>
      <c r="D26" s="5" t="s">
        <v>20</v>
      </c>
      <c r="E26" t="str">
        <f>PROPER(TRIM(Sales_Data!E26))</f>
        <v>Printer</v>
      </c>
      <c r="F26" t="s">
        <v>174</v>
      </c>
      <c r="G26" t="s">
        <v>152</v>
      </c>
      <c r="H26" s="5">
        <v>13298</v>
      </c>
      <c r="I26" s="5">
        <v>9334</v>
      </c>
      <c r="J26" s="5" t="str">
        <f t="shared" si="0"/>
        <v>Low Sales</v>
      </c>
      <c r="K26" t="str">
        <f t="shared" si="1"/>
        <v>Needs Improvement</v>
      </c>
    </row>
    <row r="27" spans="1:11" x14ac:dyDescent="0.35">
      <c r="A27" s="6">
        <v>45081</v>
      </c>
      <c r="B27" t="s">
        <v>13</v>
      </c>
      <c r="C27" t="s">
        <v>28</v>
      </c>
      <c r="D27" s="5" t="s">
        <v>37</v>
      </c>
      <c r="E27" t="str">
        <f>PROPER(TRIM(Sales_Data!E27))</f>
        <v>Laptop Stand</v>
      </c>
      <c r="F27" t="s">
        <v>175</v>
      </c>
      <c r="G27" t="s">
        <v>147</v>
      </c>
      <c r="H27" s="5">
        <v>34510</v>
      </c>
      <c r="I27" s="5">
        <v>9045</v>
      </c>
      <c r="J27" s="5" t="str">
        <f t="shared" si="0"/>
        <v>Low Sales</v>
      </c>
      <c r="K27" t="str">
        <f t="shared" si="1"/>
        <v>Good Performance</v>
      </c>
    </row>
    <row r="28" spans="1:11" x14ac:dyDescent="0.35">
      <c r="A28" s="6">
        <v>45177</v>
      </c>
      <c r="B28" t="s">
        <v>13</v>
      </c>
      <c r="C28" t="s">
        <v>28</v>
      </c>
      <c r="D28" s="5" t="s">
        <v>17</v>
      </c>
      <c r="E28" t="str">
        <f>PROPER(TRIM(Sales_Data!E28))</f>
        <v>Wireless Mouse</v>
      </c>
      <c r="F28" t="s">
        <v>176</v>
      </c>
      <c r="G28" t="s">
        <v>147</v>
      </c>
      <c r="H28" s="5">
        <v>81351</v>
      </c>
      <c r="I28" s="5">
        <v>3400</v>
      </c>
      <c r="J28" s="5" t="str">
        <f t="shared" si="0"/>
        <v>High Sales</v>
      </c>
      <c r="K28" t="str">
        <f t="shared" si="1"/>
        <v>Needs Improvement</v>
      </c>
    </row>
    <row r="29" spans="1:11" x14ac:dyDescent="0.35">
      <c r="A29" s="6">
        <v>45008</v>
      </c>
      <c r="B29" t="s">
        <v>35</v>
      </c>
      <c r="C29" t="s">
        <v>9</v>
      </c>
      <c r="D29" s="5" t="s">
        <v>20</v>
      </c>
      <c r="E29" t="str">
        <f>PROPER(TRIM(Sales_Data!E29))</f>
        <v>Printer</v>
      </c>
      <c r="F29" t="s">
        <v>177</v>
      </c>
      <c r="G29" t="s">
        <v>157</v>
      </c>
      <c r="H29" s="5">
        <v>27968</v>
      </c>
      <c r="I29" s="5">
        <v>5207</v>
      </c>
      <c r="J29" s="5" t="str">
        <f t="shared" si="0"/>
        <v>Low Sales</v>
      </c>
      <c r="K29" t="str">
        <f t="shared" si="1"/>
        <v>Needs Improvement</v>
      </c>
    </row>
    <row r="30" spans="1:11" x14ac:dyDescent="0.35">
      <c r="A30" s="6">
        <v>45147</v>
      </c>
      <c r="B30" t="s">
        <v>16</v>
      </c>
      <c r="C30" t="s">
        <v>9</v>
      </c>
      <c r="D30" s="5" t="s">
        <v>23</v>
      </c>
      <c r="E30" t="str">
        <f>PROPER(TRIM(Sales_Data!E30))</f>
        <v>Monitor</v>
      </c>
      <c r="F30" t="s">
        <v>178</v>
      </c>
      <c r="G30" t="s">
        <v>149</v>
      </c>
      <c r="H30" s="5">
        <v>72128</v>
      </c>
      <c r="I30" s="5">
        <v>10070</v>
      </c>
      <c r="J30" s="5" t="str">
        <f t="shared" si="0"/>
        <v>High Sales</v>
      </c>
      <c r="K30" t="str">
        <f t="shared" si="1"/>
        <v>Good Performance</v>
      </c>
    </row>
    <row r="31" spans="1:11" x14ac:dyDescent="0.35">
      <c r="A31" s="6">
        <v>45047</v>
      </c>
      <c r="B31" t="s">
        <v>35</v>
      </c>
      <c r="C31" t="s">
        <v>9</v>
      </c>
      <c r="D31" s="5" t="s">
        <v>20</v>
      </c>
      <c r="E31" t="str">
        <f>PROPER(TRIM(Sales_Data!E31))</f>
        <v>Printer</v>
      </c>
      <c r="F31" t="s">
        <v>179</v>
      </c>
      <c r="G31" t="s">
        <v>147</v>
      </c>
      <c r="H31" s="5">
        <v>91106</v>
      </c>
      <c r="I31" s="5">
        <v>17842</v>
      </c>
      <c r="J31" s="5" t="str">
        <f t="shared" si="0"/>
        <v>High Sales</v>
      </c>
      <c r="K31" t="str">
        <f t="shared" si="1"/>
        <v>Good Performance</v>
      </c>
    </row>
    <row r="32" spans="1:11" x14ac:dyDescent="0.35">
      <c r="A32" s="6">
        <v>45138</v>
      </c>
      <c r="B32" t="s">
        <v>13</v>
      </c>
      <c r="C32" t="s">
        <v>9</v>
      </c>
      <c r="D32" s="5" t="s">
        <v>31</v>
      </c>
      <c r="E32" t="str">
        <f>PROPER(TRIM(Sales_Data!E32))</f>
        <v>Office Chair</v>
      </c>
      <c r="F32" t="s">
        <v>180</v>
      </c>
      <c r="G32" t="s">
        <v>157</v>
      </c>
      <c r="H32" s="5">
        <v>63964</v>
      </c>
      <c r="I32" s="5">
        <v>4828</v>
      </c>
      <c r="J32" s="5" t="str">
        <f t="shared" si="0"/>
        <v>High Sales</v>
      </c>
      <c r="K32" t="str">
        <f t="shared" si="1"/>
        <v>Needs Improvement</v>
      </c>
    </row>
    <row r="33" spans="1:11" x14ac:dyDescent="0.35">
      <c r="A33" s="6">
        <v>45038</v>
      </c>
      <c r="B33" t="s">
        <v>16</v>
      </c>
      <c r="C33" t="s">
        <v>28</v>
      </c>
      <c r="D33" s="5" t="s">
        <v>37</v>
      </c>
      <c r="E33" t="str">
        <f>PROPER(TRIM(Sales_Data!E33))</f>
        <v>Laptop Stand</v>
      </c>
      <c r="F33" t="s">
        <v>181</v>
      </c>
      <c r="G33" t="s">
        <v>157</v>
      </c>
      <c r="H33" s="5">
        <v>32570</v>
      </c>
      <c r="I33" s="5">
        <v>2830</v>
      </c>
      <c r="J33" s="5" t="str">
        <f t="shared" si="0"/>
        <v>Low Sales</v>
      </c>
      <c r="K33" t="str">
        <f t="shared" si="1"/>
        <v>Needs Improvement</v>
      </c>
    </row>
    <row r="34" spans="1:11" x14ac:dyDescent="0.35">
      <c r="A34" s="6">
        <v>45219</v>
      </c>
      <c r="B34" t="s">
        <v>35</v>
      </c>
      <c r="C34" t="s">
        <v>28</v>
      </c>
      <c r="D34" s="5" t="s">
        <v>37</v>
      </c>
      <c r="E34" t="str">
        <f>PROPER(TRIM(Sales_Data!E34))</f>
        <v>Laptop Stand</v>
      </c>
      <c r="F34" t="s">
        <v>182</v>
      </c>
      <c r="G34" t="s">
        <v>152</v>
      </c>
      <c r="H34" s="5">
        <v>68439</v>
      </c>
      <c r="I34" s="5">
        <v>5352</v>
      </c>
      <c r="J34" s="5" t="str">
        <f t="shared" si="0"/>
        <v>High Sales</v>
      </c>
      <c r="K34" t="str">
        <f t="shared" si="1"/>
        <v>Good Performance</v>
      </c>
    </row>
    <row r="35" spans="1:11" x14ac:dyDescent="0.35">
      <c r="A35" s="6">
        <v>45051</v>
      </c>
      <c r="B35" t="s">
        <v>8</v>
      </c>
      <c r="C35" t="s">
        <v>28</v>
      </c>
      <c r="D35" s="5" t="s">
        <v>23</v>
      </c>
      <c r="E35" t="str">
        <f>PROPER(TRIM(Sales_Data!E35))</f>
        <v>Monitor</v>
      </c>
      <c r="F35" t="s">
        <v>183</v>
      </c>
      <c r="G35" t="s">
        <v>149</v>
      </c>
      <c r="H35" s="5">
        <v>58635</v>
      </c>
      <c r="I35" s="5">
        <v>2619</v>
      </c>
      <c r="J35" s="5" t="str">
        <f t="shared" si="0"/>
        <v>High Sales</v>
      </c>
      <c r="K35" t="str">
        <f t="shared" si="1"/>
        <v>Needs Improvement</v>
      </c>
    </row>
    <row r="36" spans="1:11" x14ac:dyDescent="0.35">
      <c r="A36" s="6">
        <v>45137</v>
      </c>
      <c r="B36" t="s">
        <v>13</v>
      </c>
      <c r="C36" t="s">
        <v>28</v>
      </c>
      <c r="D36" s="5" t="s">
        <v>23</v>
      </c>
      <c r="E36" t="str">
        <f>PROPER(TRIM(Sales_Data!E36))</f>
        <v>Monitor</v>
      </c>
      <c r="F36" t="s">
        <v>184</v>
      </c>
      <c r="G36" t="s">
        <v>157</v>
      </c>
      <c r="H36" s="5">
        <v>43774</v>
      </c>
      <c r="I36" s="5">
        <v>9572</v>
      </c>
      <c r="J36" s="5" t="str">
        <f t="shared" si="0"/>
        <v>Low Sales</v>
      </c>
      <c r="K36" t="str">
        <f t="shared" si="1"/>
        <v>Good Performance</v>
      </c>
    </row>
    <row r="37" spans="1:11" x14ac:dyDescent="0.35">
      <c r="A37" s="6">
        <v>45217</v>
      </c>
      <c r="B37" t="s">
        <v>8</v>
      </c>
      <c r="C37" t="s">
        <v>14</v>
      </c>
      <c r="D37" s="5" t="s">
        <v>31</v>
      </c>
      <c r="E37" t="str">
        <f>PROPER(TRIM(Sales_Data!E37))</f>
        <v>Office Chair</v>
      </c>
      <c r="F37" t="s">
        <v>185</v>
      </c>
      <c r="G37" t="s">
        <v>157</v>
      </c>
      <c r="H37" s="5">
        <v>26586</v>
      </c>
      <c r="I37" s="5">
        <v>12360</v>
      </c>
      <c r="J37" s="5" t="str">
        <f t="shared" si="0"/>
        <v>Low Sales</v>
      </c>
      <c r="K37" t="str">
        <f t="shared" si="1"/>
        <v>Needs Improvement</v>
      </c>
    </row>
    <row r="38" spans="1:11" x14ac:dyDescent="0.35">
      <c r="A38" s="6">
        <v>45066</v>
      </c>
      <c r="B38" t="s">
        <v>8</v>
      </c>
      <c r="C38" t="s">
        <v>28</v>
      </c>
      <c r="D38" s="5" t="s">
        <v>20</v>
      </c>
      <c r="E38" t="str">
        <f>PROPER(TRIM(Sales_Data!E38))</f>
        <v>Printer</v>
      </c>
      <c r="F38" t="s">
        <v>186</v>
      </c>
      <c r="G38" t="s">
        <v>152</v>
      </c>
      <c r="H38" s="5">
        <v>25493</v>
      </c>
      <c r="I38" s="5">
        <v>12383</v>
      </c>
      <c r="J38" s="5" t="str">
        <f t="shared" si="0"/>
        <v>Low Sales</v>
      </c>
      <c r="K38" t="str">
        <f t="shared" si="1"/>
        <v>Needs Improvement</v>
      </c>
    </row>
    <row r="39" spans="1:11" x14ac:dyDescent="0.35">
      <c r="A39" s="6">
        <v>45081</v>
      </c>
      <c r="B39" t="s">
        <v>13</v>
      </c>
      <c r="C39" t="s">
        <v>28</v>
      </c>
      <c r="D39" s="5" t="s">
        <v>20</v>
      </c>
      <c r="E39" t="str">
        <f>PROPER(TRIM(Sales_Data!E39))</f>
        <v>Printer</v>
      </c>
      <c r="F39" t="s">
        <v>187</v>
      </c>
      <c r="G39" t="s">
        <v>147</v>
      </c>
      <c r="H39" s="5">
        <v>23912</v>
      </c>
      <c r="I39" s="5">
        <v>8928</v>
      </c>
      <c r="J39" s="5" t="str">
        <f t="shared" si="0"/>
        <v>Low Sales</v>
      </c>
      <c r="K39" t="str">
        <f t="shared" si="1"/>
        <v>Needs Improvement</v>
      </c>
    </row>
    <row r="40" spans="1:11" x14ac:dyDescent="0.35">
      <c r="A40" s="6">
        <v>45278</v>
      </c>
      <c r="B40" t="s">
        <v>13</v>
      </c>
      <c r="C40" t="s">
        <v>9</v>
      </c>
      <c r="D40" s="5" t="s">
        <v>42</v>
      </c>
      <c r="E40" t="str">
        <f>PROPER(TRIM(Sales_Data!E40))</f>
        <v>Desk Lamp</v>
      </c>
      <c r="F40" t="s">
        <v>188</v>
      </c>
      <c r="G40" t="s">
        <v>157</v>
      </c>
      <c r="H40" s="5">
        <v>91891</v>
      </c>
      <c r="I40" s="5">
        <v>3668</v>
      </c>
      <c r="J40" s="5" t="str">
        <f t="shared" si="0"/>
        <v>High Sales</v>
      </c>
      <c r="K40" t="str">
        <f t="shared" si="1"/>
        <v>Needs Improvement</v>
      </c>
    </row>
    <row r="41" spans="1:11" x14ac:dyDescent="0.35">
      <c r="A41" s="6">
        <v>45274</v>
      </c>
      <c r="B41" t="s">
        <v>16</v>
      </c>
      <c r="C41" t="s">
        <v>28</v>
      </c>
      <c r="D41" s="5" t="s">
        <v>31</v>
      </c>
      <c r="E41" t="str">
        <f>PROPER(TRIM(Sales_Data!E41))</f>
        <v>Office Chair</v>
      </c>
      <c r="F41" t="s">
        <v>189</v>
      </c>
      <c r="G41" t="s">
        <v>149</v>
      </c>
      <c r="H41" s="5">
        <v>90365</v>
      </c>
      <c r="I41" s="5">
        <v>15535</v>
      </c>
      <c r="J41" s="5" t="str">
        <f t="shared" si="0"/>
        <v>High Sales</v>
      </c>
      <c r="K41" t="str">
        <f t="shared" si="1"/>
        <v>Good Performance</v>
      </c>
    </row>
    <row r="42" spans="1:11" x14ac:dyDescent="0.35">
      <c r="A42" s="6">
        <v>45180</v>
      </c>
      <c r="B42" t="s">
        <v>8</v>
      </c>
      <c r="C42" t="s">
        <v>28</v>
      </c>
      <c r="D42" s="5" t="s">
        <v>23</v>
      </c>
      <c r="E42" t="str">
        <f>PROPER(TRIM(Sales_Data!E42))</f>
        <v>Monitor</v>
      </c>
      <c r="F42" t="s">
        <v>190</v>
      </c>
      <c r="G42" t="s">
        <v>149</v>
      </c>
      <c r="H42" s="5">
        <v>7042</v>
      </c>
      <c r="I42" s="5">
        <v>2080</v>
      </c>
      <c r="J42" s="5" t="str">
        <f t="shared" si="0"/>
        <v>Low Sales</v>
      </c>
      <c r="K42" t="str">
        <f t="shared" si="1"/>
        <v>Needs Improvement</v>
      </c>
    </row>
    <row r="43" spans="1:11" x14ac:dyDescent="0.35">
      <c r="A43" s="6">
        <v>45021</v>
      </c>
      <c r="B43" t="s">
        <v>16</v>
      </c>
      <c r="C43" t="s">
        <v>14</v>
      </c>
      <c r="D43" s="5" t="s">
        <v>37</v>
      </c>
      <c r="E43" t="str">
        <f>PROPER(TRIM(Sales_Data!E43))</f>
        <v>Laptop Stand</v>
      </c>
      <c r="F43" t="s">
        <v>191</v>
      </c>
      <c r="G43" t="s">
        <v>149</v>
      </c>
      <c r="H43" s="5">
        <v>60130</v>
      </c>
      <c r="I43" s="5">
        <v>13353</v>
      </c>
      <c r="J43" s="5" t="str">
        <f t="shared" si="0"/>
        <v>High Sales</v>
      </c>
      <c r="K43" t="str">
        <f t="shared" si="1"/>
        <v>Good Performance</v>
      </c>
    </row>
    <row r="44" spans="1:11" x14ac:dyDescent="0.35">
      <c r="A44" s="6">
        <v>45283</v>
      </c>
      <c r="B44" t="s">
        <v>8</v>
      </c>
      <c r="C44" t="s">
        <v>14</v>
      </c>
      <c r="D44" s="5" t="s">
        <v>23</v>
      </c>
      <c r="E44" t="str">
        <f>PROPER(TRIM(Sales_Data!E44))</f>
        <v>Monitor</v>
      </c>
      <c r="F44" t="s">
        <v>192</v>
      </c>
      <c r="G44" t="s">
        <v>157</v>
      </c>
      <c r="H44" s="5">
        <v>90179</v>
      </c>
      <c r="I44" s="5">
        <v>6729</v>
      </c>
      <c r="J44" s="5" t="str">
        <f t="shared" si="0"/>
        <v>High Sales</v>
      </c>
      <c r="K44" t="str">
        <f t="shared" si="1"/>
        <v>Good Performance</v>
      </c>
    </row>
    <row r="45" spans="1:11" x14ac:dyDescent="0.35">
      <c r="A45" s="6">
        <v>45092</v>
      </c>
      <c r="B45" t="s">
        <v>13</v>
      </c>
      <c r="C45" t="s">
        <v>9</v>
      </c>
      <c r="D45" s="5" t="s">
        <v>20</v>
      </c>
      <c r="E45" t="str">
        <f>PROPER(TRIM(Sales_Data!E45))</f>
        <v>Printer</v>
      </c>
      <c r="F45" t="s">
        <v>193</v>
      </c>
      <c r="G45" t="s">
        <v>152</v>
      </c>
      <c r="H45" s="5">
        <v>25588</v>
      </c>
      <c r="I45" s="5">
        <v>10859</v>
      </c>
      <c r="J45" s="5" t="str">
        <f t="shared" si="0"/>
        <v>Low Sales</v>
      </c>
      <c r="K45" t="str">
        <f t="shared" si="1"/>
        <v>Needs Improvement</v>
      </c>
    </row>
    <row r="46" spans="1:11" x14ac:dyDescent="0.35">
      <c r="A46" s="6">
        <v>44984</v>
      </c>
      <c r="B46" t="s">
        <v>35</v>
      </c>
      <c r="C46" t="s">
        <v>14</v>
      </c>
      <c r="D46" s="5" t="s">
        <v>42</v>
      </c>
      <c r="E46" t="str">
        <f>PROPER(TRIM(Sales_Data!E46))</f>
        <v>Desk Lamp</v>
      </c>
      <c r="F46" t="s">
        <v>194</v>
      </c>
      <c r="G46" t="s">
        <v>147</v>
      </c>
      <c r="H46" s="5">
        <v>57221</v>
      </c>
      <c r="I46" s="5">
        <v>5906</v>
      </c>
      <c r="J46" s="5" t="str">
        <f t="shared" si="0"/>
        <v>High Sales</v>
      </c>
      <c r="K46" t="str">
        <f t="shared" si="1"/>
        <v>Good Performance</v>
      </c>
    </row>
    <row r="47" spans="1:11" x14ac:dyDescent="0.35">
      <c r="A47" s="6">
        <v>44973</v>
      </c>
      <c r="B47" t="s">
        <v>35</v>
      </c>
      <c r="C47" t="s">
        <v>28</v>
      </c>
      <c r="D47" s="5" t="s">
        <v>23</v>
      </c>
      <c r="E47" t="str">
        <f>PROPER(TRIM(Sales_Data!E47))</f>
        <v>Monitor</v>
      </c>
      <c r="F47" t="s">
        <v>195</v>
      </c>
      <c r="G47" t="s">
        <v>149</v>
      </c>
      <c r="H47" s="5">
        <v>8658</v>
      </c>
      <c r="I47" s="5">
        <v>17186</v>
      </c>
      <c r="J47" s="5" t="str">
        <f t="shared" si="0"/>
        <v>Low Sales</v>
      </c>
      <c r="K47" t="str">
        <f t="shared" si="1"/>
        <v>Needs Improvement</v>
      </c>
    </row>
    <row r="48" spans="1:11" x14ac:dyDescent="0.35">
      <c r="A48" s="6">
        <v>45225</v>
      </c>
      <c r="B48" t="s">
        <v>35</v>
      </c>
      <c r="C48" t="s">
        <v>14</v>
      </c>
      <c r="D48" s="5" t="s">
        <v>42</v>
      </c>
      <c r="E48" t="str">
        <f>PROPER(TRIM(Sales_Data!E48))</f>
        <v>Desk Lamp</v>
      </c>
      <c r="F48" t="s">
        <v>196</v>
      </c>
      <c r="G48" t="s">
        <v>147</v>
      </c>
      <c r="H48" s="5">
        <v>40583</v>
      </c>
      <c r="I48" s="5">
        <v>3007</v>
      </c>
      <c r="J48" s="5" t="str">
        <f t="shared" si="0"/>
        <v>Low Sales</v>
      </c>
      <c r="K48" t="str">
        <f t="shared" si="1"/>
        <v>Needs Improvement</v>
      </c>
    </row>
    <row r="49" spans="1:11" x14ac:dyDescent="0.35">
      <c r="A49" s="6">
        <v>45216</v>
      </c>
      <c r="B49" t="s">
        <v>35</v>
      </c>
      <c r="C49" t="s">
        <v>28</v>
      </c>
      <c r="D49" s="5" t="s">
        <v>23</v>
      </c>
      <c r="E49" t="str">
        <f>PROPER(TRIM(Sales_Data!E49))</f>
        <v>Monitor</v>
      </c>
      <c r="F49" t="s">
        <v>197</v>
      </c>
      <c r="G49" t="s">
        <v>149</v>
      </c>
      <c r="H49" s="5">
        <v>54644</v>
      </c>
      <c r="I49" s="5">
        <v>12573</v>
      </c>
      <c r="J49" s="5" t="str">
        <f t="shared" si="0"/>
        <v>High Sales</v>
      </c>
      <c r="K49" t="str">
        <f t="shared" si="1"/>
        <v>Good Performance</v>
      </c>
    </row>
    <row r="50" spans="1:11" x14ac:dyDescent="0.35">
      <c r="A50" s="6">
        <v>45095</v>
      </c>
      <c r="B50" t="s">
        <v>8</v>
      </c>
      <c r="C50" t="s">
        <v>9</v>
      </c>
      <c r="D50" s="5" t="s">
        <v>42</v>
      </c>
      <c r="E50" t="str">
        <f>PROPER(TRIM(Sales_Data!E50))</f>
        <v>Desk Lamp</v>
      </c>
      <c r="F50" t="s">
        <v>198</v>
      </c>
      <c r="G50" t="s">
        <v>147</v>
      </c>
      <c r="H50" s="5">
        <v>21130</v>
      </c>
      <c r="I50" s="5">
        <v>7026</v>
      </c>
      <c r="J50" s="5" t="str">
        <f t="shared" si="0"/>
        <v>Low Sales</v>
      </c>
      <c r="K50" t="str">
        <f t="shared" si="1"/>
        <v>Needs Improvement</v>
      </c>
    </row>
    <row r="51" spans="1:11" x14ac:dyDescent="0.35">
      <c r="A51" s="6">
        <v>45017</v>
      </c>
      <c r="B51" t="s">
        <v>8</v>
      </c>
      <c r="C51" t="s">
        <v>28</v>
      </c>
      <c r="D51" s="5" t="s">
        <v>37</v>
      </c>
      <c r="E51" t="str">
        <f>PROPER(TRIM(Sales_Data!E51))</f>
        <v>Laptop Stand</v>
      </c>
      <c r="F51" t="s">
        <v>199</v>
      </c>
      <c r="G51" t="s">
        <v>152</v>
      </c>
      <c r="H51" s="5">
        <v>54009</v>
      </c>
      <c r="I51" s="5">
        <v>15783</v>
      </c>
      <c r="J51" s="5" t="str">
        <f t="shared" si="0"/>
        <v>High Sales</v>
      </c>
      <c r="K51" t="str">
        <f t="shared" si="1"/>
        <v>Good Performance</v>
      </c>
    </row>
    <row r="52" spans="1:11" x14ac:dyDescent="0.35">
      <c r="A52" s="6">
        <v>45003</v>
      </c>
      <c r="B52" t="s">
        <v>8</v>
      </c>
      <c r="C52" t="s">
        <v>14</v>
      </c>
      <c r="D52" s="5" t="s">
        <v>31</v>
      </c>
      <c r="E52" t="str">
        <f>PROPER(TRIM(Sales_Data!E52))</f>
        <v>Office Chair</v>
      </c>
      <c r="F52" t="s">
        <v>200</v>
      </c>
      <c r="G52" t="s">
        <v>157</v>
      </c>
      <c r="H52" s="5">
        <v>51167</v>
      </c>
      <c r="I52" s="5">
        <v>8571</v>
      </c>
      <c r="J52" s="5" t="str">
        <f t="shared" si="0"/>
        <v>High Sales</v>
      </c>
      <c r="K52" t="str">
        <f t="shared" si="1"/>
        <v>Good Performance</v>
      </c>
    </row>
    <row r="53" spans="1:11" x14ac:dyDescent="0.35">
      <c r="A53" s="6">
        <v>44977</v>
      </c>
      <c r="B53" t="s">
        <v>13</v>
      </c>
      <c r="C53" t="s">
        <v>14</v>
      </c>
      <c r="D53" s="5" t="s">
        <v>10</v>
      </c>
      <c r="E53" t="str">
        <f>PROPER(TRIM(Sales_Data!E53))</f>
        <v>Keyboard</v>
      </c>
      <c r="F53" t="s">
        <v>201</v>
      </c>
      <c r="G53" t="s">
        <v>147</v>
      </c>
      <c r="H53" s="5">
        <v>74015</v>
      </c>
      <c r="I53" s="5">
        <v>15368</v>
      </c>
      <c r="J53" s="5" t="str">
        <f t="shared" si="0"/>
        <v>High Sales</v>
      </c>
      <c r="K53" t="str">
        <f t="shared" si="1"/>
        <v>Good Performance</v>
      </c>
    </row>
    <row r="54" spans="1:11" x14ac:dyDescent="0.35">
      <c r="A54" s="6">
        <v>45254</v>
      </c>
      <c r="B54" t="s">
        <v>8</v>
      </c>
      <c r="C54" t="s">
        <v>14</v>
      </c>
      <c r="D54" s="5" t="s">
        <v>23</v>
      </c>
      <c r="E54" t="str">
        <f>PROPER(TRIM(Sales_Data!E54))</f>
        <v>Monitor</v>
      </c>
      <c r="F54" t="s">
        <v>202</v>
      </c>
      <c r="G54" t="s">
        <v>152</v>
      </c>
      <c r="H54" s="5">
        <v>27543</v>
      </c>
      <c r="I54" s="5">
        <v>13368</v>
      </c>
      <c r="J54" s="5" t="str">
        <f t="shared" si="0"/>
        <v>Low Sales</v>
      </c>
      <c r="K54" t="str">
        <f t="shared" si="1"/>
        <v>Needs Improvement</v>
      </c>
    </row>
    <row r="55" spans="1:11" x14ac:dyDescent="0.35">
      <c r="A55" s="6">
        <v>45196</v>
      </c>
      <c r="B55" t="s">
        <v>8</v>
      </c>
      <c r="C55" t="s">
        <v>28</v>
      </c>
      <c r="D55" s="5" t="s">
        <v>42</v>
      </c>
      <c r="E55" t="str">
        <f>PROPER(TRIM(Sales_Data!E55))</f>
        <v>Desk Lamp</v>
      </c>
      <c r="F55" t="s">
        <v>203</v>
      </c>
      <c r="G55" t="s">
        <v>147</v>
      </c>
      <c r="H55" s="5">
        <v>56793</v>
      </c>
      <c r="I55" s="5">
        <v>13520</v>
      </c>
      <c r="J55" s="5" t="str">
        <f t="shared" si="0"/>
        <v>High Sales</v>
      </c>
      <c r="K55" t="str">
        <f t="shared" si="1"/>
        <v>Good Performance</v>
      </c>
    </row>
    <row r="56" spans="1:11" x14ac:dyDescent="0.35">
      <c r="A56" s="6">
        <v>44952</v>
      </c>
      <c r="B56" t="s">
        <v>35</v>
      </c>
      <c r="C56" t="s">
        <v>9</v>
      </c>
      <c r="D56" s="5" t="s">
        <v>23</v>
      </c>
      <c r="E56" t="str">
        <f>PROPER(TRIM(Sales_Data!E56))</f>
        <v>Monitor</v>
      </c>
      <c r="F56" t="s">
        <v>204</v>
      </c>
      <c r="G56" t="s">
        <v>147</v>
      </c>
      <c r="H56" s="5">
        <v>32933</v>
      </c>
      <c r="I56" s="5">
        <v>4346</v>
      </c>
      <c r="J56" s="5" t="str">
        <f t="shared" si="0"/>
        <v>Low Sales</v>
      </c>
      <c r="K56" t="str">
        <f t="shared" si="1"/>
        <v>Needs Improvement</v>
      </c>
    </row>
    <row r="57" spans="1:11" x14ac:dyDescent="0.35">
      <c r="A57" s="6">
        <v>45066</v>
      </c>
      <c r="B57" t="s">
        <v>16</v>
      </c>
      <c r="C57" t="s">
        <v>14</v>
      </c>
      <c r="D57" s="5" t="s">
        <v>20</v>
      </c>
      <c r="E57" t="str">
        <f>PROPER(TRIM(Sales_Data!E57))</f>
        <v>Printer</v>
      </c>
      <c r="F57" t="s">
        <v>205</v>
      </c>
      <c r="G57" t="s">
        <v>157</v>
      </c>
      <c r="H57" s="5">
        <v>69344</v>
      </c>
      <c r="I57" s="5">
        <v>11962</v>
      </c>
      <c r="J57" s="5" t="str">
        <f t="shared" si="0"/>
        <v>High Sales</v>
      </c>
      <c r="K57" t="str">
        <f t="shared" si="1"/>
        <v>Good Performance</v>
      </c>
    </row>
    <row r="58" spans="1:11" x14ac:dyDescent="0.35">
      <c r="A58" s="6">
        <v>45224</v>
      </c>
      <c r="B58" t="s">
        <v>8</v>
      </c>
      <c r="C58" t="s">
        <v>9</v>
      </c>
      <c r="D58" s="5" t="s">
        <v>42</v>
      </c>
      <c r="E58" t="str">
        <f>PROPER(TRIM(Sales_Data!E58))</f>
        <v>Desk Lamp</v>
      </c>
      <c r="F58" t="s">
        <v>206</v>
      </c>
      <c r="G58" t="s">
        <v>147</v>
      </c>
      <c r="H58" s="5">
        <v>13675</v>
      </c>
      <c r="I58" s="5">
        <v>17077</v>
      </c>
      <c r="J58" s="5" t="str">
        <f t="shared" si="0"/>
        <v>Low Sales</v>
      </c>
      <c r="K58" t="str">
        <f t="shared" si="1"/>
        <v>Needs Improvement</v>
      </c>
    </row>
    <row r="59" spans="1:11" x14ac:dyDescent="0.35">
      <c r="A59" s="6">
        <v>45277</v>
      </c>
      <c r="B59" t="s">
        <v>13</v>
      </c>
      <c r="C59" t="s">
        <v>14</v>
      </c>
      <c r="D59" s="5" t="s">
        <v>31</v>
      </c>
      <c r="E59" t="str">
        <f>PROPER(TRIM(Sales_Data!E59))</f>
        <v>Office Chair</v>
      </c>
      <c r="F59" t="s">
        <v>207</v>
      </c>
      <c r="G59" t="s">
        <v>149</v>
      </c>
      <c r="H59" s="5">
        <v>68624</v>
      </c>
      <c r="I59" s="5">
        <v>12278</v>
      </c>
      <c r="J59" s="5" t="str">
        <f t="shared" si="0"/>
        <v>High Sales</v>
      </c>
      <c r="K59" t="str">
        <f t="shared" si="1"/>
        <v>Good Performance</v>
      </c>
    </row>
    <row r="60" spans="1:11" x14ac:dyDescent="0.35">
      <c r="A60" s="6">
        <v>45222</v>
      </c>
      <c r="B60" t="s">
        <v>8</v>
      </c>
      <c r="C60" t="s">
        <v>28</v>
      </c>
      <c r="D60" s="5" t="s">
        <v>31</v>
      </c>
      <c r="E60" t="str">
        <f>PROPER(TRIM(Sales_Data!E60))</f>
        <v>Office Chair</v>
      </c>
      <c r="F60" t="s">
        <v>208</v>
      </c>
      <c r="G60" t="s">
        <v>157</v>
      </c>
      <c r="H60" s="5">
        <v>41820</v>
      </c>
      <c r="I60" s="5">
        <v>14041</v>
      </c>
      <c r="J60" s="5" t="str">
        <f t="shared" si="0"/>
        <v>Low Sales</v>
      </c>
      <c r="K60" t="str">
        <f t="shared" si="1"/>
        <v>Good Performance</v>
      </c>
    </row>
    <row r="61" spans="1:11" x14ac:dyDescent="0.35">
      <c r="A61" s="6">
        <v>45245</v>
      </c>
      <c r="B61" t="s">
        <v>13</v>
      </c>
      <c r="C61" t="s">
        <v>14</v>
      </c>
      <c r="D61" s="5" t="s">
        <v>37</v>
      </c>
      <c r="E61" t="str">
        <f>PROPER(TRIM(Sales_Data!E61))</f>
        <v>Laptop Stand</v>
      </c>
      <c r="F61" t="s">
        <v>209</v>
      </c>
      <c r="G61" t="s">
        <v>147</v>
      </c>
      <c r="H61" s="5">
        <v>73962</v>
      </c>
      <c r="I61" s="5">
        <v>17083</v>
      </c>
      <c r="J61" s="5" t="str">
        <f t="shared" si="0"/>
        <v>High Sales</v>
      </c>
      <c r="K61" t="str">
        <f t="shared" si="1"/>
        <v>Good Performance</v>
      </c>
    </row>
    <row r="62" spans="1:11" x14ac:dyDescent="0.35">
      <c r="A62" s="6">
        <v>45127</v>
      </c>
      <c r="B62" t="s">
        <v>13</v>
      </c>
      <c r="C62" t="s">
        <v>9</v>
      </c>
      <c r="D62" s="5" t="s">
        <v>20</v>
      </c>
      <c r="E62" t="str">
        <f>PROPER(TRIM(Sales_Data!E62))</f>
        <v>Printer</v>
      </c>
      <c r="F62" t="s">
        <v>210</v>
      </c>
      <c r="G62" t="s">
        <v>152</v>
      </c>
      <c r="H62" s="5">
        <v>63915</v>
      </c>
      <c r="I62" s="5">
        <v>4054</v>
      </c>
      <c r="J62" s="5" t="str">
        <f t="shared" si="0"/>
        <v>High Sales</v>
      </c>
      <c r="K62" t="str">
        <f t="shared" si="1"/>
        <v>Needs Improvement</v>
      </c>
    </row>
    <row r="63" spans="1:11" x14ac:dyDescent="0.35">
      <c r="A63" s="6">
        <v>45131</v>
      </c>
      <c r="B63" t="s">
        <v>8</v>
      </c>
      <c r="C63" t="s">
        <v>14</v>
      </c>
      <c r="D63" s="5" t="s">
        <v>37</v>
      </c>
      <c r="E63" t="str">
        <f>PROPER(TRIM(Sales_Data!E63))</f>
        <v>Laptop Stand</v>
      </c>
      <c r="F63" t="s">
        <v>211</v>
      </c>
      <c r="G63" t="s">
        <v>152</v>
      </c>
      <c r="H63" s="5">
        <v>43018</v>
      </c>
      <c r="I63" s="5">
        <v>1537</v>
      </c>
      <c r="J63" s="5" t="str">
        <f t="shared" si="0"/>
        <v>Low Sales</v>
      </c>
      <c r="K63" t="str">
        <f t="shared" si="1"/>
        <v>Needs Improvement</v>
      </c>
    </row>
    <row r="64" spans="1:11" x14ac:dyDescent="0.35">
      <c r="A64" s="6">
        <v>45167</v>
      </c>
      <c r="B64" t="s">
        <v>35</v>
      </c>
      <c r="C64" t="s">
        <v>28</v>
      </c>
      <c r="D64" s="5" t="s">
        <v>23</v>
      </c>
      <c r="E64" t="str">
        <f>PROPER(TRIM(Sales_Data!E64))</f>
        <v>Monitor</v>
      </c>
      <c r="F64" t="s">
        <v>212</v>
      </c>
      <c r="G64" t="s">
        <v>157</v>
      </c>
      <c r="H64" s="5">
        <v>43881</v>
      </c>
      <c r="I64" s="5">
        <v>11708</v>
      </c>
      <c r="J64" s="5" t="str">
        <f t="shared" si="0"/>
        <v>Low Sales</v>
      </c>
      <c r="K64" t="str">
        <f t="shared" si="1"/>
        <v>Good Performance</v>
      </c>
    </row>
    <row r="65" spans="1:11" x14ac:dyDescent="0.35">
      <c r="A65" s="6">
        <v>45146</v>
      </c>
      <c r="B65" t="s">
        <v>8</v>
      </c>
      <c r="C65" t="s">
        <v>14</v>
      </c>
      <c r="D65" s="5" t="s">
        <v>10</v>
      </c>
      <c r="E65" t="str">
        <f>PROPER(TRIM(Sales_Data!E65))</f>
        <v>Keyboard</v>
      </c>
      <c r="F65" t="s">
        <v>213</v>
      </c>
      <c r="G65" t="s">
        <v>147</v>
      </c>
      <c r="H65" s="5">
        <v>75578</v>
      </c>
      <c r="I65" s="5">
        <v>7226</v>
      </c>
      <c r="J65" s="5" t="str">
        <f t="shared" si="0"/>
        <v>High Sales</v>
      </c>
      <c r="K65" t="str">
        <f t="shared" si="1"/>
        <v>Good Performance</v>
      </c>
    </row>
    <row r="66" spans="1:11" x14ac:dyDescent="0.35">
      <c r="A66" s="6">
        <v>45184</v>
      </c>
      <c r="B66" t="s">
        <v>16</v>
      </c>
      <c r="C66" t="s">
        <v>9</v>
      </c>
      <c r="D66" s="5" t="s">
        <v>10</v>
      </c>
      <c r="E66" t="str">
        <f>PROPER(TRIM(Sales_Data!E66))</f>
        <v>Keyboard</v>
      </c>
      <c r="F66" t="s">
        <v>214</v>
      </c>
      <c r="G66" t="s">
        <v>149</v>
      </c>
      <c r="H66" s="5">
        <v>56446</v>
      </c>
      <c r="I66" s="5">
        <v>2258</v>
      </c>
      <c r="J66" s="5" t="str">
        <f t="shared" si="0"/>
        <v>High Sales</v>
      </c>
      <c r="K66" t="str">
        <f t="shared" si="1"/>
        <v>Needs Improvement</v>
      </c>
    </row>
    <row r="67" spans="1:11" x14ac:dyDescent="0.35">
      <c r="A67" s="6">
        <v>44931</v>
      </c>
      <c r="B67" t="s">
        <v>35</v>
      </c>
      <c r="C67" t="s">
        <v>9</v>
      </c>
      <c r="D67" s="5" t="s">
        <v>42</v>
      </c>
      <c r="E67" t="str">
        <f>PROPER(TRIM(Sales_Data!E67))</f>
        <v>Desk Lamp</v>
      </c>
      <c r="F67" t="s">
        <v>215</v>
      </c>
      <c r="G67" t="s">
        <v>157</v>
      </c>
      <c r="H67" s="5">
        <v>43053</v>
      </c>
      <c r="I67" s="5">
        <v>1578</v>
      </c>
      <c r="J67" s="5" t="str">
        <f t="shared" ref="J67:J81" si="2">IF(H67&gt;50000,"High Sales","Low Sales")</f>
        <v>Low Sales</v>
      </c>
      <c r="K67" t="str">
        <f t="shared" ref="K67:K81" si="3">IF(AND(H67&gt;30000,I67&gt;5000),"Good Performance","Needs Improvement")</f>
        <v>Needs Improvement</v>
      </c>
    </row>
    <row r="68" spans="1:11" x14ac:dyDescent="0.35">
      <c r="A68" s="6">
        <v>44996</v>
      </c>
      <c r="B68" t="s">
        <v>35</v>
      </c>
      <c r="C68" t="s">
        <v>28</v>
      </c>
      <c r="D68" s="5" t="s">
        <v>23</v>
      </c>
      <c r="E68" t="str">
        <f>PROPER(TRIM(Sales_Data!E68))</f>
        <v>Monitor</v>
      </c>
      <c r="F68" t="s">
        <v>216</v>
      </c>
      <c r="G68" t="s">
        <v>157</v>
      </c>
      <c r="H68" s="5">
        <v>17496</v>
      </c>
      <c r="I68" s="5">
        <v>11678</v>
      </c>
      <c r="J68" s="5" t="str">
        <f t="shared" si="2"/>
        <v>Low Sales</v>
      </c>
      <c r="K68" t="str">
        <f t="shared" si="3"/>
        <v>Needs Improvement</v>
      </c>
    </row>
    <row r="69" spans="1:11" x14ac:dyDescent="0.35">
      <c r="A69" s="6">
        <v>44951</v>
      </c>
      <c r="B69" t="s">
        <v>13</v>
      </c>
      <c r="C69" t="s">
        <v>28</v>
      </c>
      <c r="D69" s="5" t="s">
        <v>10</v>
      </c>
      <c r="E69" t="str">
        <f>PROPER(TRIM(Sales_Data!E69))</f>
        <v>Keyboard</v>
      </c>
      <c r="F69" t="s">
        <v>217</v>
      </c>
      <c r="G69" t="s">
        <v>157</v>
      </c>
      <c r="H69" s="5">
        <v>73727</v>
      </c>
      <c r="I69" s="5">
        <v>8417</v>
      </c>
      <c r="J69" s="5" t="str">
        <f t="shared" si="2"/>
        <v>High Sales</v>
      </c>
      <c r="K69" t="str">
        <f t="shared" si="3"/>
        <v>Good Performance</v>
      </c>
    </row>
    <row r="70" spans="1:11" x14ac:dyDescent="0.35">
      <c r="A70" s="6">
        <v>45241</v>
      </c>
      <c r="B70" t="s">
        <v>13</v>
      </c>
      <c r="C70" t="s">
        <v>28</v>
      </c>
      <c r="D70" s="5" t="s">
        <v>31</v>
      </c>
      <c r="E70" t="str">
        <f>PROPER(TRIM(Sales_Data!E70))</f>
        <v>Office Chair</v>
      </c>
      <c r="F70" t="s">
        <v>218</v>
      </c>
      <c r="G70" t="s">
        <v>147</v>
      </c>
      <c r="H70" s="5">
        <v>68160</v>
      </c>
      <c r="I70" s="5">
        <v>12245</v>
      </c>
      <c r="J70" s="5" t="str">
        <f t="shared" si="2"/>
        <v>High Sales</v>
      </c>
      <c r="K70" t="str">
        <f t="shared" si="3"/>
        <v>Good Performance</v>
      </c>
    </row>
    <row r="71" spans="1:11" x14ac:dyDescent="0.35">
      <c r="A71" s="6">
        <v>45131</v>
      </c>
      <c r="B71" t="s">
        <v>8</v>
      </c>
      <c r="C71" t="s">
        <v>28</v>
      </c>
      <c r="D71" s="5" t="s">
        <v>10</v>
      </c>
      <c r="E71" t="str">
        <f>PROPER(TRIM(Sales_Data!E71))</f>
        <v>Keyboard</v>
      </c>
      <c r="F71" t="s">
        <v>219</v>
      </c>
      <c r="G71" t="s">
        <v>157</v>
      </c>
      <c r="H71" s="5">
        <v>41501</v>
      </c>
      <c r="I71" s="5">
        <v>4507</v>
      </c>
      <c r="J71" s="5" t="str">
        <f t="shared" si="2"/>
        <v>Low Sales</v>
      </c>
      <c r="K71" t="str">
        <f t="shared" si="3"/>
        <v>Needs Improvement</v>
      </c>
    </row>
    <row r="72" spans="1:11" x14ac:dyDescent="0.35">
      <c r="A72" s="6">
        <v>45280</v>
      </c>
      <c r="B72" t="s">
        <v>35</v>
      </c>
      <c r="C72" t="s">
        <v>14</v>
      </c>
      <c r="D72" s="5" t="s">
        <v>37</v>
      </c>
      <c r="E72" t="str">
        <f>PROPER(TRIM(Sales_Data!E72))</f>
        <v>Laptop Stand</v>
      </c>
      <c r="F72" t="s">
        <v>220</v>
      </c>
      <c r="G72" t="s">
        <v>149</v>
      </c>
      <c r="H72" s="5">
        <v>52767</v>
      </c>
      <c r="I72" s="5">
        <v>2684</v>
      </c>
      <c r="J72" s="5" t="str">
        <f t="shared" si="2"/>
        <v>High Sales</v>
      </c>
      <c r="K72" t="str">
        <f t="shared" si="3"/>
        <v>Needs Improvement</v>
      </c>
    </row>
    <row r="73" spans="1:11" x14ac:dyDescent="0.35">
      <c r="A73" s="6">
        <v>45223</v>
      </c>
      <c r="B73" t="s">
        <v>35</v>
      </c>
      <c r="C73" t="s">
        <v>9</v>
      </c>
      <c r="D73" s="5" t="s">
        <v>20</v>
      </c>
      <c r="E73" t="str">
        <f>PROPER(TRIM(Sales_Data!E73))</f>
        <v>Printer</v>
      </c>
      <c r="F73" t="s">
        <v>221</v>
      </c>
      <c r="G73" t="s">
        <v>149</v>
      </c>
      <c r="H73" s="5">
        <v>88641</v>
      </c>
      <c r="I73" s="5">
        <v>15360</v>
      </c>
      <c r="J73" s="5" t="str">
        <f t="shared" si="2"/>
        <v>High Sales</v>
      </c>
      <c r="K73" t="str">
        <f t="shared" si="3"/>
        <v>Good Performance</v>
      </c>
    </row>
    <row r="74" spans="1:11" x14ac:dyDescent="0.35">
      <c r="A74" s="6">
        <v>45120</v>
      </c>
      <c r="B74" t="s">
        <v>16</v>
      </c>
      <c r="C74" t="s">
        <v>14</v>
      </c>
      <c r="D74" s="5" t="s">
        <v>31</v>
      </c>
      <c r="E74" t="str">
        <f>PROPER(TRIM(Sales_Data!E74))</f>
        <v>Office Chair</v>
      </c>
      <c r="F74" t="s">
        <v>222</v>
      </c>
      <c r="G74" t="s">
        <v>157</v>
      </c>
      <c r="H74" s="5">
        <v>91150</v>
      </c>
      <c r="I74" s="5">
        <v>9366</v>
      </c>
      <c r="J74" s="5" t="str">
        <f t="shared" si="2"/>
        <v>High Sales</v>
      </c>
      <c r="K74" t="str">
        <f t="shared" si="3"/>
        <v>Good Performance</v>
      </c>
    </row>
    <row r="75" spans="1:11" x14ac:dyDescent="0.35">
      <c r="A75" s="6">
        <v>45215</v>
      </c>
      <c r="B75" t="s">
        <v>8</v>
      </c>
      <c r="C75" t="s">
        <v>28</v>
      </c>
      <c r="D75" s="5" t="s">
        <v>20</v>
      </c>
      <c r="E75" t="str">
        <f>PROPER(TRIM(Sales_Data!E75))</f>
        <v>Printer</v>
      </c>
      <c r="F75" t="s">
        <v>223</v>
      </c>
      <c r="G75" t="s">
        <v>147</v>
      </c>
      <c r="H75" s="5">
        <v>89731</v>
      </c>
      <c r="I75" s="5">
        <v>5393</v>
      </c>
      <c r="J75" s="5" t="str">
        <f t="shared" si="2"/>
        <v>High Sales</v>
      </c>
      <c r="K75" t="str">
        <f t="shared" si="3"/>
        <v>Good Performance</v>
      </c>
    </row>
    <row r="76" spans="1:11" x14ac:dyDescent="0.35">
      <c r="A76" s="6">
        <v>45189</v>
      </c>
      <c r="B76" t="s">
        <v>16</v>
      </c>
      <c r="C76" t="s">
        <v>14</v>
      </c>
      <c r="D76" s="5" t="s">
        <v>10</v>
      </c>
      <c r="E76" t="str">
        <f>PROPER(TRIM(Sales_Data!E76))</f>
        <v>Keyboard</v>
      </c>
      <c r="F76" t="s">
        <v>224</v>
      </c>
      <c r="G76" t="s">
        <v>152</v>
      </c>
      <c r="H76" s="5">
        <v>11760</v>
      </c>
      <c r="I76" s="5">
        <v>8716</v>
      </c>
      <c r="J76" s="5" t="str">
        <f t="shared" si="2"/>
        <v>Low Sales</v>
      </c>
      <c r="K76" t="str">
        <f t="shared" si="3"/>
        <v>Needs Improvement</v>
      </c>
    </row>
    <row r="77" spans="1:11" x14ac:dyDescent="0.35">
      <c r="A77" s="6">
        <v>44957</v>
      </c>
      <c r="B77" t="s">
        <v>13</v>
      </c>
      <c r="C77" t="s">
        <v>9</v>
      </c>
      <c r="D77" s="5" t="s">
        <v>37</v>
      </c>
      <c r="E77" t="str">
        <f>PROPER(TRIM(Sales_Data!E77))</f>
        <v>Laptop Stand</v>
      </c>
      <c r="F77" t="s">
        <v>225</v>
      </c>
      <c r="G77" t="s">
        <v>152</v>
      </c>
      <c r="H77" s="5">
        <v>33976</v>
      </c>
      <c r="I77" s="5">
        <v>16873</v>
      </c>
      <c r="J77" s="5" t="str">
        <f t="shared" si="2"/>
        <v>Low Sales</v>
      </c>
      <c r="K77" t="str">
        <f t="shared" si="3"/>
        <v>Good Performance</v>
      </c>
    </row>
    <row r="78" spans="1:11" x14ac:dyDescent="0.35">
      <c r="A78" s="6">
        <v>45233</v>
      </c>
      <c r="B78" t="s">
        <v>13</v>
      </c>
      <c r="C78" t="s">
        <v>9</v>
      </c>
      <c r="D78" s="5" t="s">
        <v>10</v>
      </c>
      <c r="E78" t="str">
        <f>PROPER(TRIM(Sales_Data!E78))</f>
        <v>Keyboard</v>
      </c>
      <c r="F78" t="s">
        <v>226</v>
      </c>
      <c r="G78" t="s">
        <v>149</v>
      </c>
      <c r="H78" s="5">
        <v>88986</v>
      </c>
      <c r="I78" s="5">
        <v>15516</v>
      </c>
      <c r="J78" s="5" t="str">
        <f t="shared" si="2"/>
        <v>High Sales</v>
      </c>
      <c r="K78" t="str">
        <f t="shared" si="3"/>
        <v>Good Performance</v>
      </c>
    </row>
    <row r="79" spans="1:11" x14ac:dyDescent="0.35">
      <c r="A79" s="6">
        <v>45179</v>
      </c>
      <c r="B79" t="s">
        <v>13</v>
      </c>
      <c r="C79" t="s">
        <v>9</v>
      </c>
      <c r="D79" s="5" t="s">
        <v>10</v>
      </c>
      <c r="E79" t="str">
        <f>PROPER(TRIM(Sales_Data!E79))</f>
        <v>Keyboard</v>
      </c>
      <c r="F79" t="s">
        <v>179</v>
      </c>
      <c r="G79" t="s">
        <v>149</v>
      </c>
      <c r="H79" s="5">
        <v>47186</v>
      </c>
      <c r="I79" s="5">
        <v>3432</v>
      </c>
      <c r="J79" s="5" t="str">
        <f t="shared" si="2"/>
        <v>Low Sales</v>
      </c>
      <c r="K79" t="str">
        <f t="shared" si="3"/>
        <v>Needs Improvement</v>
      </c>
    </row>
    <row r="80" spans="1:11" x14ac:dyDescent="0.35">
      <c r="A80" s="6">
        <v>44989</v>
      </c>
      <c r="B80" t="s">
        <v>13</v>
      </c>
      <c r="C80" t="s">
        <v>14</v>
      </c>
      <c r="D80" s="5" t="s">
        <v>31</v>
      </c>
      <c r="E80" t="str">
        <f>PROPER(TRIM(Sales_Data!E80))</f>
        <v>Office Chair</v>
      </c>
      <c r="F80" t="s">
        <v>227</v>
      </c>
      <c r="G80" t="s">
        <v>152</v>
      </c>
      <c r="H80" s="5">
        <v>34885</v>
      </c>
      <c r="I80" s="5">
        <v>17986</v>
      </c>
      <c r="J80" s="5" t="str">
        <f t="shared" si="2"/>
        <v>Low Sales</v>
      </c>
      <c r="K80" t="str">
        <f t="shared" si="3"/>
        <v>Good Performance</v>
      </c>
    </row>
    <row r="81" spans="1:11" x14ac:dyDescent="0.35">
      <c r="A81" s="6">
        <v>45284</v>
      </c>
      <c r="B81" t="s">
        <v>13</v>
      </c>
      <c r="C81" t="s">
        <v>9</v>
      </c>
      <c r="D81" s="5" t="s">
        <v>17</v>
      </c>
      <c r="E81" t="str">
        <f>PROPER(TRIM(Sales_Data!E81))</f>
        <v>Wireless Mouse</v>
      </c>
      <c r="F81" t="s">
        <v>228</v>
      </c>
      <c r="G81" t="s">
        <v>149</v>
      </c>
      <c r="H81" s="5" t="s">
        <v>130</v>
      </c>
      <c r="I81" s="5">
        <v>1994</v>
      </c>
      <c r="J81" s="5" t="str">
        <f t="shared" si="2"/>
        <v>High Sales</v>
      </c>
      <c r="K81" t="str">
        <f t="shared" si="3"/>
        <v>Needs Improvement</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8D5E1-E084-461F-A069-45B70897C393}">
  <dimension ref="A1:C8"/>
  <sheetViews>
    <sheetView topLeftCell="C1" workbookViewId="0">
      <selection activeCell="C6" sqref="C6"/>
    </sheetView>
  </sheetViews>
  <sheetFormatPr defaultRowHeight="14.5" x14ac:dyDescent="0.35"/>
  <cols>
    <col min="1" max="1" width="11.08984375" customWidth="1"/>
    <col min="2" max="2" width="13.26953125" customWidth="1"/>
    <col min="3" max="3" width="255.6328125" bestFit="1" customWidth="1"/>
  </cols>
  <sheetData>
    <row r="1" spans="1:3" x14ac:dyDescent="0.35">
      <c r="A1" s="1" t="s">
        <v>3</v>
      </c>
      <c r="B1" s="1" t="s">
        <v>231</v>
      </c>
      <c r="C1" s="1" t="s">
        <v>123</v>
      </c>
    </row>
    <row r="2" spans="1:3" x14ac:dyDescent="0.35">
      <c r="A2" s="5" t="s">
        <v>37</v>
      </c>
      <c r="B2" t="str">
        <f>_xlfn.XLOOKUP(A2,Sales_Data!$D:$D,Sales_Data!$C:$C)</f>
        <v>Furniture</v>
      </c>
      <c r="C2" t="s">
        <v>235</v>
      </c>
    </row>
    <row r="3" spans="1:3" x14ac:dyDescent="0.35">
      <c r="A3" s="5" t="s">
        <v>17</v>
      </c>
      <c r="B3" t="str">
        <f>_xlfn.XLOOKUP(A3,Sales_Data!$D:$D,Sales_Data!$C:$C)</f>
        <v>Technology</v>
      </c>
    </row>
    <row r="4" spans="1:3" x14ac:dyDescent="0.35">
      <c r="A4" s="5" t="s">
        <v>31</v>
      </c>
      <c r="B4" t="str">
        <f>_xlfn.XLOOKUP(A4,Sales_Data!$D:$D,Sales_Data!$C:$C)</f>
        <v>Technology</v>
      </c>
    </row>
    <row r="5" spans="1:3" x14ac:dyDescent="0.35">
      <c r="A5" s="5" t="s">
        <v>42</v>
      </c>
      <c r="B5" t="str">
        <f>_xlfn.XLOOKUP(A5,Sales_Data!$D:$D,Sales_Data!$C:$C)</f>
        <v>Furniture</v>
      </c>
    </row>
    <row r="6" spans="1:3" x14ac:dyDescent="0.35">
      <c r="A6" s="5" t="s">
        <v>20</v>
      </c>
      <c r="B6" t="str">
        <f>_xlfn.XLOOKUP(A6,Sales_Data!$D:$D,Sales_Data!$C:$C)</f>
        <v>Technology</v>
      </c>
    </row>
    <row r="7" spans="1:3" x14ac:dyDescent="0.35">
      <c r="A7" s="5" t="s">
        <v>10</v>
      </c>
      <c r="B7" t="str">
        <f>_xlfn.XLOOKUP(A7,Sales_Data!$D:$D,Sales_Data!$C:$C)</f>
        <v>Technology</v>
      </c>
    </row>
    <row r="8" spans="1:3" x14ac:dyDescent="0.35">
      <c r="A8" s="5" t="s">
        <v>23</v>
      </c>
      <c r="B8" t="str">
        <f>_xlfn.XLOOKUP(A8,Sales_Data!$D:$D,Sales_Data!$C:$C)</f>
        <v>Technology</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F5DAF-596F-4606-B1FD-81D45465C6B0}">
  <dimension ref="A2:B9"/>
  <sheetViews>
    <sheetView workbookViewId="0">
      <selection activeCell="R4" sqref="R4"/>
    </sheetView>
  </sheetViews>
  <sheetFormatPr defaultRowHeight="14.5" x14ac:dyDescent="0.35"/>
  <cols>
    <col min="1" max="1" width="10.7265625" bestFit="1" customWidth="1"/>
    <col min="2" max="2" width="11.26953125" bestFit="1" customWidth="1"/>
  </cols>
  <sheetData>
    <row r="2" spans="1:2" x14ac:dyDescent="0.35">
      <c r="A2" s="12" t="s">
        <v>1</v>
      </c>
      <c r="B2" t="s">
        <v>237</v>
      </c>
    </row>
    <row r="3" spans="1:2" x14ac:dyDescent="0.35">
      <c r="A3" s="8" t="s">
        <v>13</v>
      </c>
      <c r="B3" s="2">
        <v>1374664</v>
      </c>
    </row>
    <row r="4" spans="1:2" x14ac:dyDescent="0.35">
      <c r="A4" s="8" t="s">
        <v>8</v>
      </c>
      <c r="B4" s="2">
        <v>994379</v>
      </c>
    </row>
    <row r="5" spans="1:2" x14ac:dyDescent="0.35">
      <c r="A5" s="8" t="s">
        <v>16</v>
      </c>
      <c r="B5" s="2">
        <v>865517</v>
      </c>
    </row>
    <row r="6" spans="1:2" x14ac:dyDescent="0.35">
      <c r="A6" s="8" t="s">
        <v>35</v>
      </c>
      <c r="B6" s="2">
        <v>830278</v>
      </c>
    </row>
    <row r="7" spans="1:2" x14ac:dyDescent="0.35">
      <c r="A7" s="8" t="s">
        <v>236</v>
      </c>
      <c r="B7" s="2">
        <v>4064838</v>
      </c>
    </row>
    <row r="9" spans="1:2" x14ac:dyDescent="0.35">
      <c r="A9" s="7" t="s">
        <v>238</v>
      </c>
      <c r="B9" t="s">
        <v>239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09B4F-357F-4EB1-813B-284758B1AA98}">
  <dimension ref="A2:B8"/>
  <sheetViews>
    <sheetView workbookViewId="0">
      <selection sqref="A1:T2"/>
    </sheetView>
  </sheetViews>
  <sheetFormatPr defaultRowHeight="14.5" x14ac:dyDescent="0.35"/>
  <cols>
    <col min="1" max="1" width="13.1796875" bestFit="1" customWidth="1"/>
    <col min="2" max="2" width="7.453125" bestFit="1" customWidth="1"/>
  </cols>
  <sheetData>
    <row r="2" spans="1:2" x14ac:dyDescent="0.35">
      <c r="A2" s="12" t="s">
        <v>2</v>
      </c>
      <c r="B2" t="s">
        <v>240</v>
      </c>
    </row>
    <row r="3" spans="1:2" x14ac:dyDescent="0.35">
      <c r="A3" s="8" t="s">
        <v>14</v>
      </c>
      <c r="B3" s="13">
        <v>0.30846336037484778</v>
      </c>
    </row>
    <row r="4" spans="1:2" x14ac:dyDescent="0.35">
      <c r="A4" s="8" t="s">
        <v>28</v>
      </c>
      <c r="B4" s="13">
        <v>0.36517604385554797</v>
      </c>
    </row>
    <row r="5" spans="1:2" x14ac:dyDescent="0.35">
      <c r="A5" s="8" t="s">
        <v>9</v>
      </c>
      <c r="B5" s="13">
        <v>0.32636059576960424</v>
      </c>
    </row>
    <row r="6" spans="1:2" x14ac:dyDescent="0.35">
      <c r="A6" s="8" t="s">
        <v>236</v>
      </c>
      <c r="B6" s="13">
        <v>1</v>
      </c>
    </row>
    <row r="8" spans="1:2" x14ac:dyDescent="0.35">
      <c r="A8" s="7" t="s">
        <v>238</v>
      </c>
      <c r="B8" t="s">
        <v>241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2ADB3-08D3-454E-8D7B-552D7DB6F44A}">
  <dimension ref="A2:B17"/>
  <sheetViews>
    <sheetView workbookViewId="0">
      <selection activeCell="M15" sqref="M15"/>
    </sheetView>
  </sheetViews>
  <sheetFormatPr defaultRowHeight="14.5" x14ac:dyDescent="0.35"/>
  <cols>
    <col min="1" max="1" width="10.7265625" bestFit="1" customWidth="1"/>
    <col min="2" max="2" width="11.26953125" bestFit="1" customWidth="1"/>
  </cols>
  <sheetData>
    <row r="2" spans="1:2" x14ac:dyDescent="0.35">
      <c r="A2" s="12" t="s">
        <v>254</v>
      </c>
      <c r="B2" t="s">
        <v>237</v>
      </c>
    </row>
    <row r="3" spans="1:2" x14ac:dyDescent="0.35">
      <c r="A3" s="8" t="s">
        <v>242</v>
      </c>
      <c r="B3" s="20">
        <v>260093</v>
      </c>
    </row>
    <row r="4" spans="1:2" x14ac:dyDescent="0.35">
      <c r="A4" s="8" t="s">
        <v>243</v>
      </c>
      <c r="B4" s="20">
        <v>298340</v>
      </c>
    </row>
    <row r="5" spans="1:2" x14ac:dyDescent="0.35">
      <c r="A5" s="8" t="s">
        <v>244</v>
      </c>
      <c r="B5" s="20">
        <v>212742</v>
      </c>
    </row>
    <row r="6" spans="1:2" x14ac:dyDescent="0.35">
      <c r="A6" s="8" t="s">
        <v>245</v>
      </c>
      <c r="B6" s="20">
        <v>298331</v>
      </c>
    </row>
    <row r="7" spans="1:2" x14ac:dyDescent="0.35">
      <c r="A7" s="8" t="s">
        <v>246</v>
      </c>
      <c r="B7" s="20">
        <v>440277</v>
      </c>
    </row>
    <row r="8" spans="1:2" x14ac:dyDescent="0.35">
      <c r="A8" s="8" t="s">
        <v>247</v>
      </c>
      <c r="B8" s="20">
        <v>221049</v>
      </c>
    </row>
    <row r="9" spans="1:2" x14ac:dyDescent="0.35">
      <c r="A9" s="8" t="s">
        <v>248</v>
      </c>
      <c r="B9" s="20">
        <v>360620</v>
      </c>
    </row>
    <row r="10" spans="1:2" x14ac:dyDescent="0.35">
      <c r="A10" s="8" t="s">
        <v>249</v>
      </c>
      <c r="B10" s="20">
        <v>247319</v>
      </c>
    </row>
    <row r="11" spans="1:2" x14ac:dyDescent="0.35">
      <c r="A11" s="8" t="s">
        <v>250</v>
      </c>
      <c r="B11" s="20">
        <v>302318</v>
      </c>
    </row>
    <row r="12" spans="1:2" x14ac:dyDescent="0.35">
      <c r="A12" s="8" t="s">
        <v>251</v>
      </c>
      <c r="B12" s="20">
        <v>716465</v>
      </c>
    </row>
    <row r="13" spans="1:2" x14ac:dyDescent="0.35">
      <c r="A13" s="8" t="s">
        <v>252</v>
      </c>
      <c r="B13" s="20">
        <v>258651</v>
      </c>
    </row>
    <row r="14" spans="1:2" x14ac:dyDescent="0.35">
      <c r="A14" s="8" t="s">
        <v>253</v>
      </c>
      <c r="B14" s="20">
        <v>448633</v>
      </c>
    </row>
    <row r="15" spans="1:2" x14ac:dyDescent="0.35">
      <c r="A15" s="8" t="s">
        <v>236</v>
      </c>
      <c r="B15" s="20">
        <v>4064838</v>
      </c>
    </row>
    <row r="17" spans="1:2" x14ac:dyDescent="0.35">
      <c r="A17" s="7" t="s">
        <v>238</v>
      </c>
      <c r="B17" t="s">
        <v>255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11A36-0010-4A02-903D-074AE33A5827}">
  <dimension ref="A1:T5"/>
  <sheetViews>
    <sheetView showGridLines="0" workbookViewId="0">
      <selection activeCell="Q8" sqref="Q8"/>
    </sheetView>
  </sheetViews>
  <sheetFormatPr defaultRowHeight="14.5" x14ac:dyDescent="0.35"/>
  <cols>
    <col min="1" max="15" width="8.7265625" style="14"/>
    <col min="16" max="16" width="12.7265625" style="14" hidden="1" customWidth="1"/>
    <col min="17" max="16384" width="8.7265625" style="14"/>
  </cols>
  <sheetData>
    <row r="1" spans="1:20" x14ac:dyDescent="0.35">
      <c r="A1" s="17" t="s">
        <v>256</v>
      </c>
      <c r="B1" s="18"/>
      <c r="C1" s="18"/>
      <c r="D1" s="18"/>
      <c r="E1" s="18"/>
      <c r="F1" s="18"/>
      <c r="G1" s="18"/>
      <c r="H1" s="18"/>
      <c r="I1" s="18"/>
      <c r="J1" s="18"/>
      <c r="K1" s="18"/>
      <c r="L1" s="18"/>
      <c r="M1" s="18"/>
      <c r="N1" s="18"/>
      <c r="O1" s="18"/>
      <c r="P1" s="18"/>
      <c r="Q1" s="18"/>
      <c r="R1" s="18"/>
      <c r="S1" s="18"/>
      <c r="T1" s="18"/>
    </row>
    <row r="2" spans="1:20" x14ac:dyDescent="0.35">
      <c r="A2" s="18"/>
      <c r="B2" s="18"/>
      <c r="C2" s="18"/>
      <c r="D2" s="18"/>
      <c r="E2" s="18"/>
      <c r="F2" s="18"/>
      <c r="G2" s="18"/>
      <c r="H2" s="18"/>
      <c r="I2" s="18"/>
      <c r="J2" s="18"/>
      <c r="K2" s="18"/>
      <c r="L2" s="18"/>
      <c r="M2" s="18"/>
      <c r="N2" s="18"/>
      <c r="O2" s="18"/>
      <c r="P2" s="18"/>
      <c r="Q2" s="18"/>
      <c r="R2" s="18"/>
      <c r="S2" s="18"/>
      <c r="T2" s="18"/>
    </row>
    <row r="3" spans="1:20" x14ac:dyDescent="0.35">
      <c r="P3" s="19">
        <f>SUM(Sales_Data!G2:G81)</f>
        <v>4064838</v>
      </c>
    </row>
    <row r="4" spans="1:20" x14ac:dyDescent="0.35">
      <c r="P4" s="19">
        <f>SUM(Sales_Data!H2:H81)</f>
        <v>778556</v>
      </c>
    </row>
    <row r="5" spans="1:20" x14ac:dyDescent="0.35">
      <c r="P5" s="19">
        <f>AVERAGE(Sales_Data!G2:G81)</f>
        <v>51453.645569620254</v>
      </c>
    </row>
  </sheetData>
  <mergeCells count="1">
    <mergeCell ref="A1: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89CC2-0BF2-40B3-B1FF-69970F1E46AA}">
  <dimension ref="A2:C3"/>
  <sheetViews>
    <sheetView tabSelected="1" workbookViewId="0">
      <selection activeCell="H13" sqref="H13"/>
    </sheetView>
  </sheetViews>
  <sheetFormatPr defaultRowHeight="14.5" x14ac:dyDescent="0.35"/>
  <cols>
    <col min="1" max="1" width="10.1796875" bestFit="1" customWidth="1"/>
    <col min="2" max="2" width="10.26953125" bestFit="1" customWidth="1"/>
    <col min="3" max="3" width="14.453125" bestFit="1" customWidth="1"/>
  </cols>
  <sheetData>
    <row r="2" spans="1:3" x14ac:dyDescent="0.35">
      <c r="A2" t="s">
        <v>109</v>
      </c>
      <c r="B2" t="s">
        <v>258</v>
      </c>
      <c r="C2" t="s">
        <v>257</v>
      </c>
    </row>
    <row r="3" spans="1:3" x14ac:dyDescent="0.35">
      <c r="A3" s="2">
        <v>4064838</v>
      </c>
      <c r="B3" s="2">
        <v>778556</v>
      </c>
      <c r="C3" s="2">
        <v>51453.645569620254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Sales_Data</vt:lpstr>
      <vt:lpstr>Task 1</vt:lpstr>
      <vt:lpstr>Task 2</vt:lpstr>
      <vt:lpstr>Task 3</vt:lpstr>
      <vt:lpstr>Task 4 </vt:lpstr>
      <vt:lpstr>Task 5- Region wise sales</vt:lpstr>
      <vt:lpstr>Task 5- Profit by category</vt:lpstr>
      <vt:lpstr>Task 5- Monthly sales</vt:lpstr>
      <vt:lpstr>Task 6- Dashboard</vt:lpstr>
      <vt:lpstr>Task 6- 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drishan vig</cp:lastModifiedBy>
  <dcterms:created xsi:type="dcterms:W3CDTF">2026-01-11T15:28:49Z</dcterms:created>
  <dcterms:modified xsi:type="dcterms:W3CDTF">2026-01-11T18:09:25Z</dcterms:modified>
</cp:coreProperties>
</file>